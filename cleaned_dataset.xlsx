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POWER BI\"/>
    </mc:Choice>
  </mc:AlternateContent>
  <bookViews>
    <workbookView xWindow="0" yWindow="0" windowWidth="23040" windowHeight="9960"/>
  </bookViews>
  <sheets>
    <sheet name="main_dataset" sheetId="1" r:id="rId1"/>
    <sheet name="Data_Dictionary" sheetId="2" r:id="rId2"/>
    <sheet name="Summary_Tables" sheetId="5" r:id="rId3"/>
    <sheet name="Rough_Insights" sheetId="6" r:id="rId4"/>
  </sheets>
  <definedNames>
    <definedName name="_xlcn.WorksheetConnection_cleaned_dataset.xlsxForm_Responses1" hidden="1">Form_Responses[]</definedName>
  </definedNames>
  <calcPr calcId="152511"/>
  <pivotCaches>
    <pivotCache cacheId="25" r:id="rId5"/>
    <pivotCache cacheId="18" r:id="rId6"/>
  </pivotCaches>
  <extLst>
    <ext xmlns:x15="http://schemas.microsoft.com/office/spreadsheetml/2010/11/main" uri="{FCE2AD5D-F65C-4FA6-A056-5C36A1767C68}">
      <x15:dataModel>
        <x15:modelTables>
          <x15:modelTable id="Form_Responses-5ce1d1ea-5ff4-4bf8-94f1-787cbcfc83d2" name="Form_Responses" connection="WorksheetConnection_cleaned_dataset.xlsx!Form_Responses"/>
        </x15:modelTables>
      </x15:dataModel>
    </ext>
  </extLst>
</workbook>
</file>

<file path=xl/calcChain.xml><?xml version="1.0" encoding="utf-8"?>
<calcChain xmlns="http://schemas.openxmlformats.org/spreadsheetml/2006/main">
  <c r="E22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leaned_dataset.xlsx!Form_Responses" type="102" refreshedVersion="5" minRefreshableVersion="5">
    <extLst>
      <ext xmlns:x15="http://schemas.microsoft.com/office/spreadsheetml/2010/11/main" uri="{DE250136-89BD-433C-8126-D09CA5730AF9}">
        <x15:connection id="Form_Responses-5ce1d1ea-5ff4-4bf8-94f1-787cbcfc83d2" autoDelete="1">
          <x15:rangePr sourceName="_xlcn.WorksheetConnection_cleaned_dataset.xlsxForm_Responses1"/>
        </x15:connection>
      </ext>
    </extLst>
  </connection>
</connections>
</file>

<file path=xl/sharedStrings.xml><?xml version="1.0" encoding="utf-8"?>
<sst xmlns="http://schemas.openxmlformats.org/spreadsheetml/2006/main" count="580" uniqueCount="88">
  <si>
    <t>Age</t>
  </si>
  <si>
    <t>20-24</t>
  </si>
  <si>
    <t>Student</t>
  </si>
  <si>
    <t>Net Banking</t>
  </si>
  <si>
    <t>6-10</t>
  </si>
  <si>
    <t>31 - 60 mins</t>
  </si>
  <si>
    <t>₹1,001 – ₹2,500</t>
  </si>
  <si>
    <t>Maybe</t>
  </si>
  <si>
    <t>No</t>
  </si>
  <si>
    <t>15-19</t>
  </si>
  <si>
    <t>UPI (GPay, PhonePe, etc.)</t>
  </si>
  <si>
    <t>0 - 5 mins</t>
  </si>
  <si>
    <t>₹101 – ₹500</t>
  </si>
  <si>
    <t>3-5</t>
  </si>
  <si>
    <t>Yes</t>
  </si>
  <si>
    <t>Cash</t>
  </si>
  <si>
    <t>1-2</t>
  </si>
  <si>
    <t>Less than ₹100</t>
  </si>
  <si>
    <t>More than 60 mins</t>
  </si>
  <si>
    <t>25-29</t>
  </si>
  <si>
    <t>Working Professional</t>
  </si>
  <si>
    <t>6 - 15 mins</t>
  </si>
  <si>
    <t>16 - 30 mins</t>
  </si>
  <si>
    <t>More than ₹2,500</t>
  </si>
  <si>
    <t>₹501 – ₹1,000</t>
  </si>
  <si>
    <t>Credit / Debit Cards</t>
  </si>
  <si>
    <t>fampay</t>
  </si>
  <si>
    <t>Above 30</t>
  </si>
  <si>
    <t>Rupay (Credit card UPI)</t>
  </si>
  <si>
    <t>Self-Employed / Business Owner</t>
  </si>
  <si>
    <t>Status</t>
  </si>
  <si>
    <t>Payment_Mode</t>
  </si>
  <si>
    <t>Daily_Transactions_Category</t>
  </si>
  <si>
    <t>Daily_Transaction_Code</t>
  </si>
  <si>
    <t>Review_Time</t>
  </si>
  <si>
    <t>Review_Time_Code</t>
  </si>
  <si>
    <t>Daily_Spend</t>
  </si>
  <si>
    <t>Daily_Spend_Code</t>
  </si>
  <si>
    <t>Payment_Failure</t>
  </si>
  <si>
    <t>Payment_Failure_Code</t>
  </si>
  <si>
    <t>Fraud_Attempt</t>
  </si>
  <si>
    <t>Fraud_Code</t>
  </si>
  <si>
    <t>Confidence_Score</t>
  </si>
  <si>
    <t>More than 10</t>
  </si>
  <si>
    <t>Column Name</t>
  </si>
  <si>
    <t>Meaning</t>
  </si>
  <si>
    <t>Respondent age group</t>
  </si>
  <si>
    <t>Student/working/other status</t>
  </si>
  <si>
    <t>Main digital payment method used</t>
  </si>
  <si>
    <t>Daily digital transaction range</t>
  </si>
  <si>
    <t>Numerical code for daily transaction frequency</t>
  </si>
  <si>
    <t>Weekly transaction review time range</t>
  </si>
  <si>
    <t>Numerical code for review time</t>
  </si>
  <si>
    <t>Daily digital spending range</t>
  </si>
  <si>
    <t>Numerical code for daily spend</t>
  </si>
  <si>
    <t>Whether respondent faced payment failure</t>
  </si>
  <si>
    <t>Code for payment failure response</t>
  </si>
  <si>
    <t>Whether respondent faced fraud attempt</t>
  </si>
  <si>
    <t>Code for fraud attempt response</t>
  </si>
  <si>
    <t>Confidence in digital payment safety from 1 to 10</t>
  </si>
  <si>
    <t>Coding Used</t>
  </si>
  <si>
    <t>0=0, 1-2=1.5, 3-5=4, 6-10=8, More than 10=11</t>
  </si>
  <si>
    <t>0-5 mins= 2.5, 6-15 mins= 10.5, 16-30 mins= 23, 31-60 mins= 45.5, more than 60 mins= 61</t>
  </si>
  <si>
    <t>Less than 100= 50, 101-500= 300, 501-1000= 750, 1001-2500= 1750, More than 2500= 2501</t>
  </si>
  <si>
    <t>Yes= 1, Maybe= 0.5, No= 0</t>
  </si>
  <si>
    <t>Row Labels</t>
  </si>
  <si>
    <t>Grand Total</t>
  </si>
  <si>
    <t>Count of Status</t>
  </si>
  <si>
    <t>Count of Payment_Mode</t>
  </si>
  <si>
    <t>Status distribution</t>
  </si>
  <si>
    <t>Payment Mode Distribution</t>
  </si>
  <si>
    <t>Fraud Attempt Count</t>
  </si>
  <si>
    <t>Count of Fraud_Attempt</t>
  </si>
  <si>
    <t>Payment Failure Count</t>
  </si>
  <si>
    <t>Count of Payment_Failure</t>
  </si>
  <si>
    <t>Confidence Score Distribution</t>
  </si>
  <si>
    <t>Count of Confidence_Score</t>
  </si>
  <si>
    <t>Mostly respondents have not faced any fraud attempts, 52 out of 61 answered No.</t>
  </si>
  <si>
    <t>But, 7 respondents answered yes, this means digital payment risk still exitst.</t>
  </si>
  <si>
    <t>Confidence score is mostly high, especially around 8, 9, 10.</t>
  </si>
  <si>
    <t>This suggests that users may accept Payment Failure as a common issue, but will still trust digital payment systems.</t>
  </si>
  <si>
    <t>Even though many respondents faced Payment Failure , overall confidence in digital payments still remains high.</t>
  </si>
  <si>
    <t>Payment Failure is a major issue, as 44 out of 61 respondents faced Payment failure issue in the last 6 months.</t>
  </si>
  <si>
    <t>Only a small number of respondents mainly use cards, netbanking, Fampay or Rupay credit.</t>
  </si>
  <si>
    <t>Cash is the second most used payment method, but it is far behind UPI.</t>
  </si>
  <si>
    <t>UPI is the most used payment method, with 46 out of 61 respondents.</t>
  </si>
  <si>
    <t>Rough Insights- From the Summary tables,</t>
  </si>
  <si>
    <t>I can observe that most respondents are students, so the study mainly reflects students digital payment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</si>
</sst>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0" fillId="0" borderId="1" xfId="0" applyFont="1" applyBorder="1" applyAlignment="1"/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 applyAlignment="1">
      <alignment vertical="center"/>
    </xf>
    <xf numFmtId="49" fontId="0" fillId="0" borderId="1" xfId="0" applyNumberFormat="1" applyFont="1" applyBorder="1" applyAlignment="1"/>
    <xf numFmtId="2" fontId="1" fillId="0" borderId="1" xfId="0" applyNumberFormat="1" applyFont="1" applyBorder="1" applyAlignment="1">
      <alignment horizontal="left" vertical="center"/>
    </xf>
    <xf numFmtId="2" fontId="1" fillId="0" borderId="1" xfId="0" quotePrefix="1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0" fillId="0" borderId="1" xfId="0" applyNumberFormat="1" applyFont="1" applyBorder="1" applyAlignment="1"/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164" fontId="0" fillId="0" borderId="1" xfId="0" applyNumberFormat="1" applyFont="1" applyBorder="1" applyAlignment="1"/>
    <xf numFmtId="0" fontId="2" fillId="0" borderId="0" xfId="0" applyFont="1" applyAlignment="1"/>
    <xf numFmtId="0" fontId="3" fillId="0" borderId="0" xfId="0" applyFont="1" applyAlignment="1"/>
    <xf numFmtId="0" fontId="0" fillId="0" borderId="2" xfId="0" pivotButton="1" applyFont="1" applyBorder="1" applyAlignment="1"/>
    <xf numFmtId="0" fontId="0" fillId="0" borderId="4" xfId="0" applyFont="1" applyBorder="1" applyAlignment="1"/>
    <xf numFmtId="0" fontId="0" fillId="0" borderId="2" xfId="0" applyFont="1" applyBorder="1" applyAlignment="1">
      <alignment horizontal="left"/>
    </xf>
    <xf numFmtId="0" fontId="0" fillId="0" borderId="4" xfId="0" applyNumberFormat="1" applyFont="1" applyBorder="1" applyAlignment="1"/>
    <xf numFmtId="0" fontId="0" fillId="0" borderId="3" xfId="0" applyFont="1" applyBorder="1" applyAlignment="1">
      <alignment horizontal="left"/>
    </xf>
    <xf numFmtId="0" fontId="0" fillId="0" borderId="5" xfId="0" applyNumberFormat="1" applyFont="1" applyBorder="1" applyAlignment="1"/>
    <xf numFmtId="0" fontId="0" fillId="0" borderId="7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2" fillId="0" borderId="0" xfId="0" applyFont="1" applyAlignment="1">
      <alignment horizontal="left"/>
    </xf>
    <xf numFmtId="164" fontId="0" fillId="0" borderId="2" xfId="0" applyNumberFormat="1" applyFont="1" applyBorder="1" applyAlignment="1">
      <alignment horizontal="left"/>
    </xf>
    <xf numFmtId="164" fontId="0" fillId="0" borderId="3" xfId="0" applyNumberFormat="1" applyFont="1" applyBorder="1" applyAlignment="1">
      <alignment horizontal="left"/>
    </xf>
    <xf numFmtId="164" fontId="0" fillId="0" borderId="7" xfId="0" applyNumberFormat="1" applyFont="1" applyBorder="1" applyAlignment="1">
      <alignment horizontal="left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.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92.93365648148" createdVersion="5" refreshedVersion="5" minRefreshableVersion="3" recordCount="61">
  <cacheSource type="worksheet">
    <worksheetSource name="Form_Responses"/>
  </cacheSource>
  <cacheFields count="14">
    <cacheField name="Age" numFmtId="49">
      <sharedItems/>
    </cacheField>
    <cacheField name="Status" numFmtId="49">
      <sharedItems count="3">
        <s v="Student"/>
        <s v="Working Professional"/>
        <s v="Self-Employed / Business Owner"/>
      </sharedItems>
    </cacheField>
    <cacheField name="Payment_Mode" numFmtId="49">
      <sharedItems/>
    </cacheField>
    <cacheField name="Daily_Transactions_Category" numFmtId="49">
      <sharedItems containsMixedTypes="1" containsNumber="1" containsInteger="1" minValue="0" maxValue="0"/>
    </cacheField>
    <cacheField name="Daily_Transaction_Code" numFmtId="2">
      <sharedItems containsSemiMixedTypes="0" containsString="0" containsNumber="1" minValue="0" maxValue="11"/>
    </cacheField>
    <cacheField name="Review_Time" numFmtId="49">
      <sharedItems/>
    </cacheField>
    <cacheField name="Review_Time_Code" numFmtId="2">
      <sharedItems containsSemiMixedTypes="0" containsString="0" containsNumber="1" minValue="2.5" maxValue="61"/>
    </cacheField>
    <cacheField name="Daily_Spend" numFmtId="49">
      <sharedItems/>
    </cacheField>
    <cacheField name="Daily_Spend_Code" numFmtId="2">
      <sharedItems containsSemiMixedTypes="0" containsString="0" containsNumber="1" containsInteger="1" minValue="50" maxValue="2501"/>
    </cacheField>
    <cacheField name="Payment_Failure" numFmtId="49">
      <sharedItems count="3">
        <s v="Maybe"/>
        <s v="No"/>
        <s v="Yes"/>
      </sharedItems>
    </cacheField>
    <cacheField name="Payment_Failure_Code" numFmtId="2">
      <sharedItems containsSemiMixedTypes="0" containsString="0" containsNumber="1" minValue="0" maxValue="1"/>
    </cacheField>
    <cacheField name="Fraud_Attempt" numFmtId="49">
      <sharedItems count="3">
        <s v="No"/>
        <s v="Maybe"/>
        <s v="Yes"/>
      </sharedItems>
    </cacheField>
    <cacheField name="Fraud_Code" numFmtId="164">
      <sharedItems containsSemiMixedTypes="0" containsString="0" containsNumber="1" minValue="0" maxValue="1"/>
    </cacheField>
    <cacheField name="Confidence_Score" numFmtId="164">
      <sharedItems containsSemiMixedTypes="0" containsString="0" containsNumber="1" containsInteger="1" minValue="1" maxValue="10" count="10">
        <n v="8"/>
        <n v="7"/>
        <n v="3"/>
        <n v="10"/>
        <n v="9"/>
        <n v="5"/>
        <n v="1"/>
        <n v="6"/>
        <n v="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192.937088541665" backgroundQuery="1" createdVersion="5" refreshedVersion="5" minRefreshableVersion="3" recordCount="0" supportSubquery="1" supportAdvancedDrill="1">
  <cacheSource type="external" connectionId="1"/>
  <cacheFields count="2">
    <cacheField name="[Form_Responses].[Payment_Mode].[Payment_Mode]" caption="Payment_Mode" numFmtId="0" hierarchy="2" level="1">
      <sharedItems count="6">
        <s v="Cash"/>
        <s v="Credit / Debit Cards"/>
        <s v="fampay"/>
        <s v="Net Banking"/>
        <s v="Rupay (Credit card UPI)"/>
        <s v="UPI (GPay, PhonePe, etc.)"/>
      </sharedItems>
    </cacheField>
    <cacheField name="[Measures].[Count of Payment_Mode]" caption="Count of Payment_Mode" numFmtId="0" hierarchy="14" level="32767"/>
  </cacheFields>
  <cacheHierarchies count="17">
    <cacheHierarchy uniqueName="[Form_Responses].[Age]" caption="Age" attribute="1" defaultMemberUniqueName="[Form_Responses].[Age].[All]" allUniqueName="[Form_Responses].[Age].[All]" dimensionUniqueName="[Form_Responses]" displayFolder="" count="0" memberValueDatatype="130" unbalanced="0"/>
    <cacheHierarchy uniqueName="[Form_Responses].[Status]" caption="Status" attribute="1" defaultMemberUniqueName="[Form_Responses].[Status].[All]" allUniqueName="[Form_Responses].[Status].[All]" dimensionUniqueName="[Form_Responses]" displayFolder="" count="0" memberValueDatatype="130" unbalanced="0"/>
    <cacheHierarchy uniqueName="[Form_Responses].[Payment_Mode]" caption="Payment_Mode" attribute="1" defaultMemberUniqueName="[Form_Responses].[Payment_Mode].[All]" allUniqueName="[Form_Responses].[Payment_Mode].[All]" dimensionUniqueName="[Form_Responses]" displayFolder="" count="2" memberValueDatatype="130" unbalanced="0">
      <fieldsUsage count="2">
        <fieldUsage x="-1"/>
        <fieldUsage x="0"/>
      </fieldsUsage>
    </cacheHierarchy>
    <cacheHierarchy uniqueName="[Form_Responses].[Daily_Transactions_Category]" caption="Daily_Transactions_Category" attribute="1" defaultMemberUniqueName="[Form_Responses].[Daily_Transactions_Category].[All]" allUniqueName="[Form_Responses].[Daily_Transactions_Category].[All]" dimensionUniqueName="[Form_Responses]" displayFolder="" count="0" memberValueDatatype="130" unbalanced="0"/>
    <cacheHierarchy uniqueName="[Form_Responses].[Daily_Transaction_Code]" caption="Daily_Transaction_Code" attribute="1" defaultMemberUniqueName="[Form_Responses].[Daily_Transaction_Code].[All]" allUniqueName="[Form_Responses].[Daily_Transaction_Code].[All]" dimensionUniqueName="[Form_Responses]" displayFolder="" count="0" memberValueDatatype="5" unbalanced="0"/>
    <cacheHierarchy uniqueName="[Form_Responses].[Review_Time]" caption="Review_Time" attribute="1" defaultMemberUniqueName="[Form_Responses].[Review_Time].[All]" allUniqueName="[Form_Responses].[Review_Time].[All]" dimensionUniqueName="[Form_Responses]" displayFolder="" count="0" memberValueDatatype="130" unbalanced="0"/>
    <cacheHierarchy uniqueName="[Form_Responses].[Review_Time_Code]" caption="Review_Time_Code" attribute="1" defaultMemberUniqueName="[Form_Responses].[Review_Time_Code].[All]" allUniqueName="[Form_Responses].[Review_Time_Code].[All]" dimensionUniqueName="[Form_Responses]" displayFolder="" count="0" memberValueDatatype="5" unbalanced="0"/>
    <cacheHierarchy uniqueName="[Form_Responses].[Daily_Spend]" caption="Daily_Spend" attribute="1" defaultMemberUniqueName="[Form_Responses].[Daily_Spend].[All]" allUniqueName="[Form_Responses].[Daily_Spend].[All]" dimensionUniqueName="[Form_Responses]" displayFolder="" count="0" memberValueDatatype="130" unbalanced="0"/>
    <cacheHierarchy uniqueName="[Form_Responses].[Daily_Spend_Code]" caption="Daily_Spend_Code" attribute="1" defaultMemberUniqueName="[Form_Responses].[Daily_Spend_Code].[All]" allUniqueName="[Form_Responses].[Daily_Spend_Code].[All]" dimensionUniqueName="[Form_Responses]" displayFolder="" count="0" memberValueDatatype="20" unbalanced="0"/>
    <cacheHierarchy uniqueName="[Form_Responses].[Payment_Failure]" caption="Payment_Failure" attribute="1" defaultMemberUniqueName="[Form_Responses].[Payment_Failure].[All]" allUniqueName="[Form_Responses].[Payment_Failure].[All]" dimensionUniqueName="[Form_Responses]" displayFolder="" count="0" memberValueDatatype="130" unbalanced="0"/>
    <cacheHierarchy uniqueName="[Form_Responses].[Payment_Failure_Code]" caption="Payment_Failure_Code" attribute="1" defaultMemberUniqueName="[Form_Responses].[Payment_Failure_Code].[All]" allUniqueName="[Form_Responses].[Payment_Failure_Code].[All]" dimensionUniqueName="[Form_Responses]" displayFolder="" count="0" memberValueDatatype="5" unbalanced="0"/>
    <cacheHierarchy uniqueName="[Form_Responses].[Fraud_Attempt]" caption="Fraud_Attempt" attribute="1" defaultMemberUniqueName="[Form_Responses].[Fraud_Attempt].[All]" allUniqueName="[Form_Responses].[Fraud_Attempt].[All]" dimensionUniqueName="[Form_Responses]" displayFolder="" count="0" memberValueDatatype="130" unbalanced="0"/>
    <cacheHierarchy uniqueName="[Form_Responses].[Fraud_Code]" caption="Fraud_Code" attribute="1" defaultMemberUniqueName="[Form_Responses].[Fraud_Code].[All]" allUniqueName="[Form_Responses].[Fraud_Code].[All]" dimensionUniqueName="[Form_Responses]" displayFolder="" count="0" memberValueDatatype="5" unbalanced="0"/>
    <cacheHierarchy uniqueName="[Form_Responses].[Confidence_Score]" caption="Confidence_Score" attribute="1" defaultMemberUniqueName="[Form_Responses].[Confidence_Score].[All]" allUniqueName="[Form_Responses].[Confidence_Score].[All]" dimensionUniqueName="[Form_Responses]" displayFolder="" count="0" memberValueDatatype="20" unbalanced="0"/>
    <cacheHierarchy uniqueName="[Measures].[Count of Payment_Mode]" caption="Count of Payment_Mode" measure="1" displayFolder="" measureGroup="Form_Respons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__XL_Count Form_Responses]" caption="__XL_Count Form_Responses" measure="1" displayFolder="" measureGroup="Form_Responses" count="0" hidden="1"/>
    <cacheHierarchy uniqueName="[Measures].[__XL_Count of Models]" caption="__XL_Count of Models" measure="1" displayFolder="" count="0" hidden="1"/>
  </cacheHierarchies>
  <kpis count="0"/>
  <dimensions count="2">
    <dimension name="Form_Responses" uniqueName="[Form_Responses]" caption="Form_Responses"/>
    <dimension measure="1" name="Measures" uniqueName="[Measures]" caption="Measures"/>
  </dimensions>
  <measureGroups count="1">
    <measureGroup name="Form_Responses" caption="Form_Respons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s v="20-24"/>
    <x v="0"/>
    <s v="Net Banking"/>
    <s v="6-10"/>
    <n v="8"/>
    <s v="31 - 60 mins"/>
    <n v="45.5"/>
    <s v="₹1,001 – ₹2,500"/>
    <n v="1750"/>
    <x v="0"/>
    <n v="0.5"/>
    <x v="0"/>
    <n v="0"/>
    <x v="0"/>
  </r>
  <r>
    <s v="15-19"/>
    <x v="0"/>
    <s v="UPI (GPay, PhonePe, etc.)"/>
    <s v="6-10"/>
    <n v="8"/>
    <s v="0 - 5 mins"/>
    <n v="2.5"/>
    <s v="₹101 – ₹500"/>
    <n v="300"/>
    <x v="1"/>
    <n v="0"/>
    <x v="0"/>
    <n v="0"/>
    <x v="1"/>
  </r>
  <r>
    <s v="15-19"/>
    <x v="0"/>
    <s v="UPI (GPay, PhonePe, etc.)"/>
    <s v="3-5"/>
    <n v="4"/>
    <s v="0 - 5 mins"/>
    <n v="2.5"/>
    <s v="₹101 – ₹500"/>
    <n v="300"/>
    <x v="2"/>
    <n v="1"/>
    <x v="0"/>
    <n v="0"/>
    <x v="0"/>
  </r>
  <r>
    <s v="20-24"/>
    <x v="0"/>
    <s v="Cash"/>
    <s v="1-2"/>
    <n v="1.5"/>
    <s v="0 - 5 mins"/>
    <n v="2.5"/>
    <s v="Less than ₹100"/>
    <n v="50"/>
    <x v="1"/>
    <n v="0"/>
    <x v="0"/>
    <n v="0"/>
    <x v="2"/>
  </r>
  <r>
    <s v="15-19"/>
    <x v="0"/>
    <s v="UPI (GPay, PhonePe, etc.)"/>
    <s v="3-5"/>
    <n v="4"/>
    <s v="More than 60 mins"/>
    <n v="61"/>
    <s v="₹101 – ₹500"/>
    <n v="300"/>
    <x v="2"/>
    <n v="1"/>
    <x v="0"/>
    <n v="0"/>
    <x v="1"/>
  </r>
  <r>
    <s v="25-29"/>
    <x v="1"/>
    <s v="UPI (GPay, PhonePe, etc.)"/>
    <s v="3-5"/>
    <n v="4"/>
    <s v="31 - 60 mins"/>
    <n v="45.5"/>
    <s v="₹101 – ₹500"/>
    <n v="300"/>
    <x v="1"/>
    <n v="0"/>
    <x v="0"/>
    <n v="0"/>
    <x v="3"/>
  </r>
  <r>
    <s v="15-19"/>
    <x v="0"/>
    <s v="UPI (GPay, PhonePe, etc.)"/>
    <s v="6-10"/>
    <n v="8"/>
    <s v="6 - 15 mins"/>
    <n v="10.5"/>
    <s v="₹101 – ₹500"/>
    <n v="300"/>
    <x v="2"/>
    <n v="1"/>
    <x v="0"/>
    <n v="0"/>
    <x v="4"/>
  </r>
  <r>
    <s v="20-24"/>
    <x v="0"/>
    <s v="UPI (GPay, PhonePe, etc.)"/>
    <s v="6-10"/>
    <n v="8"/>
    <s v="16 - 30 mins"/>
    <n v="23"/>
    <s v="₹101 – ₹500"/>
    <n v="300"/>
    <x v="2"/>
    <n v="1"/>
    <x v="0"/>
    <n v="0"/>
    <x v="1"/>
  </r>
  <r>
    <s v="15-19"/>
    <x v="0"/>
    <s v="UPI (GPay, PhonePe, etc.)"/>
    <s v="3-5"/>
    <n v="4"/>
    <s v="16 - 30 mins"/>
    <n v="23"/>
    <s v="₹101 – ₹500"/>
    <n v="300"/>
    <x v="2"/>
    <n v="1"/>
    <x v="0"/>
    <n v="0"/>
    <x v="0"/>
  </r>
  <r>
    <s v="20-24"/>
    <x v="0"/>
    <s v="UPI (GPay, PhonePe, etc.)"/>
    <s v="3-5"/>
    <n v="4"/>
    <s v="6 - 15 mins"/>
    <n v="10.5"/>
    <s v="More than ₹2,500"/>
    <n v="2501"/>
    <x v="2"/>
    <n v="1"/>
    <x v="0"/>
    <n v="0"/>
    <x v="0"/>
  </r>
  <r>
    <s v="20-24"/>
    <x v="0"/>
    <s v="UPI (GPay, PhonePe, etc.)"/>
    <s v="3-5"/>
    <n v="4"/>
    <s v="0 - 5 mins"/>
    <n v="2.5"/>
    <s v="Less than ₹100"/>
    <n v="50"/>
    <x v="0"/>
    <n v="0.5"/>
    <x v="0"/>
    <n v="0"/>
    <x v="0"/>
  </r>
  <r>
    <s v="20-24"/>
    <x v="0"/>
    <s v="UPI (GPay, PhonePe, etc.)"/>
    <s v="3-5"/>
    <n v="4"/>
    <s v="0 - 5 mins"/>
    <n v="2.5"/>
    <s v="₹101 – ₹500"/>
    <n v="300"/>
    <x v="1"/>
    <n v="0"/>
    <x v="0"/>
    <n v="0"/>
    <x v="4"/>
  </r>
  <r>
    <s v="25-29"/>
    <x v="1"/>
    <s v="UPI (GPay, PhonePe, etc.)"/>
    <s v="3-5"/>
    <n v="4"/>
    <s v="16 - 30 mins"/>
    <n v="23"/>
    <s v="₹501 – ₹1,000"/>
    <n v="750"/>
    <x v="0"/>
    <n v="0.5"/>
    <x v="1"/>
    <n v="0.5"/>
    <x v="5"/>
  </r>
  <r>
    <s v="15-19"/>
    <x v="0"/>
    <s v="UPI (GPay, PhonePe, etc.)"/>
    <s v="6-10"/>
    <n v="8"/>
    <s v="0 - 5 mins"/>
    <n v="2.5"/>
    <s v="₹101 – ₹500"/>
    <n v="300"/>
    <x v="2"/>
    <n v="1"/>
    <x v="0"/>
    <n v="0"/>
    <x v="5"/>
  </r>
  <r>
    <s v="15-19"/>
    <x v="0"/>
    <s v="UPI (GPay, PhonePe, etc.)"/>
    <s v="3-5"/>
    <n v="4"/>
    <s v="6 - 15 mins"/>
    <n v="10.5"/>
    <s v="₹101 – ₹500"/>
    <n v="300"/>
    <x v="2"/>
    <n v="1"/>
    <x v="2"/>
    <n v="1"/>
    <x v="0"/>
  </r>
  <r>
    <s v="15-19"/>
    <x v="0"/>
    <s v="UPI (GPay, PhonePe, etc.)"/>
    <s v="6-10"/>
    <n v="8"/>
    <s v="0 - 5 mins"/>
    <n v="2.5"/>
    <s v="₹101 – ₹500"/>
    <n v="300"/>
    <x v="2"/>
    <n v="1"/>
    <x v="0"/>
    <n v="0"/>
    <x v="0"/>
  </r>
  <r>
    <s v="25-29"/>
    <x v="1"/>
    <s v="UPI (GPay, PhonePe, etc.)"/>
    <s v="3-5"/>
    <n v="4"/>
    <s v="16 - 30 mins"/>
    <n v="23"/>
    <s v="₹501 – ₹1,000"/>
    <n v="750"/>
    <x v="2"/>
    <n v="1"/>
    <x v="0"/>
    <n v="0"/>
    <x v="4"/>
  </r>
  <r>
    <s v="Above 30"/>
    <x v="1"/>
    <s v="UPI (GPay, PhonePe, etc.)"/>
    <s v="1-2"/>
    <n v="1.5"/>
    <s v="0 - 5 mins"/>
    <n v="2.5"/>
    <s v="₹101 – ₹500"/>
    <n v="300"/>
    <x v="2"/>
    <n v="1"/>
    <x v="2"/>
    <n v="1"/>
    <x v="5"/>
  </r>
  <r>
    <s v="15-19"/>
    <x v="0"/>
    <s v="Cash"/>
    <s v="3-5"/>
    <n v="4"/>
    <s v="6 - 15 mins"/>
    <n v="10.5"/>
    <s v="₹101 – ₹500"/>
    <n v="300"/>
    <x v="2"/>
    <n v="1"/>
    <x v="0"/>
    <n v="0"/>
    <x v="4"/>
  </r>
  <r>
    <s v="15-19"/>
    <x v="0"/>
    <s v="UPI (GPay, PhonePe, etc.)"/>
    <s v="6-10"/>
    <n v="8"/>
    <s v="0 - 5 mins"/>
    <n v="2.5"/>
    <s v="₹101 – ₹500"/>
    <n v="300"/>
    <x v="2"/>
    <n v="1"/>
    <x v="0"/>
    <n v="0"/>
    <x v="3"/>
  </r>
  <r>
    <s v="15-19"/>
    <x v="0"/>
    <s v="Cash"/>
    <n v="0"/>
    <n v="0"/>
    <s v="6 - 15 mins"/>
    <n v="10.5"/>
    <s v="Less than ₹100"/>
    <n v="50"/>
    <x v="1"/>
    <n v="0"/>
    <x v="0"/>
    <n v="0"/>
    <x v="5"/>
  </r>
  <r>
    <s v="15-19"/>
    <x v="0"/>
    <s v="Credit / Debit Cards"/>
    <s v="6-10"/>
    <n v="8"/>
    <s v="31 - 60 mins"/>
    <n v="45.5"/>
    <s v="₹101 – ₹500"/>
    <n v="300"/>
    <x v="2"/>
    <n v="1"/>
    <x v="2"/>
    <n v="1"/>
    <x v="6"/>
  </r>
  <r>
    <s v="15-19"/>
    <x v="0"/>
    <s v="UPI (GPay, PhonePe, etc.)"/>
    <s v="6-10"/>
    <n v="8"/>
    <s v="0 - 5 mins"/>
    <n v="2.5"/>
    <s v="₹101 – ₹500"/>
    <n v="300"/>
    <x v="2"/>
    <n v="1"/>
    <x v="0"/>
    <n v="0"/>
    <x v="5"/>
  </r>
  <r>
    <s v="15-19"/>
    <x v="0"/>
    <s v="UPI (GPay, PhonePe, etc.)"/>
    <s v="6-10"/>
    <n v="8"/>
    <s v="16 - 30 mins"/>
    <n v="23"/>
    <s v="₹101 – ₹500"/>
    <n v="300"/>
    <x v="2"/>
    <n v="1"/>
    <x v="0"/>
    <n v="0"/>
    <x v="0"/>
  </r>
  <r>
    <s v="15-19"/>
    <x v="0"/>
    <s v="Credit / Debit Cards"/>
    <s v="3-5"/>
    <n v="4"/>
    <s v="0 - 5 mins"/>
    <n v="2.5"/>
    <s v="More than ₹2,500"/>
    <n v="2501"/>
    <x v="1"/>
    <n v="0"/>
    <x v="0"/>
    <n v="0"/>
    <x v="3"/>
  </r>
  <r>
    <s v="15-19"/>
    <x v="0"/>
    <s v="UPI (GPay, PhonePe, etc.)"/>
    <s v="3-5"/>
    <n v="4"/>
    <s v="0 - 5 mins"/>
    <n v="2.5"/>
    <s v="₹101 – ₹500"/>
    <n v="300"/>
    <x v="2"/>
    <n v="1"/>
    <x v="0"/>
    <n v="0"/>
    <x v="3"/>
  </r>
  <r>
    <s v="20-24"/>
    <x v="0"/>
    <s v="UPI (GPay, PhonePe, etc.)"/>
    <s v="3-5"/>
    <n v="4"/>
    <s v="6 - 15 mins"/>
    <n v="10.5"/>
    <s v="₹101 – ₹500"/>
    <n v="300"/>
    <x v="2"/>
    <n v="1"/>
    <x v="0"/>
    <n v="0"/>
    <x v="4"/>
  </r>
  <r>
    <s v="20-24"/>
    <x v="0"/>
    <s v="UPI (GPay, PhonePe, etc.)"/>
    <s v="6-10"/>
    <n v="8"/>
    <s v="6 - 15 mins"/>
    <n v="10.5"/>
    <s v="₹101 – ₹500"/>
    <n v="300"/>
    <x v="2"/>
    <n v="1"/>
    <x v="0"/>
    <n v="0"/>
    <x v="1"/>
  </r>
  <r>
    <s v="Above 30"/>
    <x v="1"/>
    <s v="UPI (GPay, PhonePe, etc.)"/>
    <s v="1-2"/>
    <n v="1.5"/>
    <s v="6 - 15 mins"/>
    <n v="10.5"/>
    <s v="₹101 – ₹500"/>
    <n v="300"/>
    <x v="2"/>
    <n v="1"/>
    <x v="0"/>
    <n v="0"/>
    <x v="0"/>
  </r>
  <r>
    <s v="20-24"/>
    <x v="0"/>
    <s v="Cash"/>
    <n v="0"/>
    <n v="0"/>
    <s v="0 - 5 mins"/>
    <n v="2.5"/>
    <s v="Less than ₹100"/>
    <n v="50"/>
    <x v="0"/>
    <n v="0.5"/>
    <x v="0"/>
    <n v="0"/>
    <x v="3"/>
  </r>
  <r>
    <s v="20-24"/>
    <x v="0"/>
    <s v="UPI (GPay, PhonePe, etc.)"/>
    <s v="6-10"/>
    <n v="8"/>
    <s v="6 - 15 mins"/>
    <n v="10.5"/>
    <s v="₹501 – ₹1,000"/>
    <n v="750"/>
    <x v="2"/>
    <n v="1"/>
    <x v="0"/>
    <n v="0"/>
    <x v="3"/>
  </r>
  <r>
    <s v="15-19"/>
    <x v="0"/>
    <s v="UPI (GPay, PhonePe, etc.)"/>
    <s v="3-5"/>
    <n v="4"/>
    <s v="0 - 5 mins"/>
    <n v="2.5"/>
    <s v="₹101 – ₹500"/>
    <n v="300"/>
    <x v="1"/>
    <n v="0"/>
    <x v="0"/>
    <n v="0"/>
    <x v="4"/>
  </r>
  <r>
    <s v="20-24"/>
    <x v="0"/>
    <s v="Credit / Debit Cards"/>
    <s v="3-5"/>
    <n v="4"/>
    <s v="6 - 15 mins"/>
    <n v="10.5"/>
    <s v="₹501 – ₹1,000"/>
    <n v="750"/>
    <x v="2"/>
    <n v="1"/>
    <x v="2"/>
    <n v="1"/>
    <x v="7"/>
  </r>
  <r>
    <s v="20-24"/>
    <x v="0"/>
    <s v="UPI (GPay, PhonePe, etc.)"/>
    <s v="More than 10"/>
    <n v="11"/>
    <s v="0 - 5 mins"/>
    <n v="2.5"/>
    <s v="₹101 – ₹500"/>
    <n v="300"/>
    <x v="2"/>
    <n v="1"/>
    <x v="0"/>
    <n v="0"/>
    <x v="1"/>
  </r>
  <r>
    <s v="15-19"/>
    <x v="0"/>
    <s v="UPI (GPay, PhonePe, etc.)"/>
    <s v="1-2"/>
    <n v="1.5"/>
    <s v="6 - 15 mins"/>
    <n v="10.5"/>
    <s v="Less than ₹100"/>
    <n v="50"/>
    <x v="1"/>
    <n v="0"/>
    <x v="1"/>
    <n v="0.5"/>
    <x v="8"/>
  </r>
  <r>
    <s v="15-19"/>
    <x v="0"/>
    <s v="Cash"/>
    <s v="1-2"/>
    <n v="1.5"/>
    <s v="0 - 5 mins"/>
    <n v="2.5"/>
    <s v="Less than ₹100"/>
    <n v="50"/>
    <x v="0"/>
    <n v="0.5"/>
    <x v="0"/>
    <n v="0"/>
    <x v="3"/>
  </r>
  <r>
    <s v="15-19"/>
    <x v="0"/>
    <s v="fampay"/>
    <n v="0"/>
    <n v="0"/>
    <s v="0 - 5 mins"/>
    <n v="2.5"/>
    <s v="₹101 – ₹500"/>
    <n v="300"/>
    <x v="1"/>
    <n v="0"/>
    <x v="0"/>
    <n v="0"/>
    <x v="7"/>
  </r>
  <r>
    <s v="15-19"/>
    <x v="0"/>
    <s v="UPI (GPay, PhonePe, etc.)"/>
    <n v="0"/>
    <n v="0"/>
    <s v="0 - 5 mins"/>
    <n v="2.5"/>
    <s v="Less than ₹100"/>
    <n v="50"/>
    <x v="2"/>
    <n v="1"/>
    <x v="0"/>
    <n v="0"/>
    <x v="1"/>
  </r>
  <r>
    <s v="Above 30"/>
    <x v="1"/>
    <s v="UPI (GPay, PhonePe, etc.)"/>
    <s v="6-10"/>
    <n v="8"/>
    <s v="16 - 30 mins"/>
    <n v="23"/>
    <s v="₹501 – ₹1,000"/>
    <n v="750"/>
    <x v="2"/>
    <n v="1"/>
    <x v="2"/>
    <n v="1"/>
    <x v="0"/>
  </r>
  <r>
    <s v="20-24"/>
    <x v="0"/>
    <s v="UPI (GPay, PhonePe, etc.)"/>
    <s v="6-10"/>
    <n v="8"/>
    <s v="0 - 5 mins"/>
    <n v="2.5"/>
    <s v="₹101 – ₹500"/>
    <n v="300"/>
    <x v="2"/>
    <n v="1"/>
    <x v="0"/>
    <n v="0"/>
    <x v="5"/>
  </r>
  <r>
    <s v="15-19"/>
    <x v="0"/>
    <s v="UPI (GPay, PhonePe, etc.)"/>
    <s v="3-5"/>
    <n v="4"/>
    <s v="0 - 5 mins"/>
    <n v="2.5"/>
    <s v="₹101 – ₹500"/>
    <n v="300"/>
    <x v="2"/>
    <n v="1"/>
    <x v="0"/>
    <n v="0"/>
    <x v="4"/>
  </r>
  <r>
    <s v="15-19"/>
    <x v="0"/>
    <s v="UPI (GPay, PhonePe, etc.)"/>
    <s v="6-10"/>
    <n v="8"/>
    <s v="More than 60 mins"/>
    <n v="61"/>
    <s v="₹101 – ₹500"/>
    <n v="300"/>
    <x v="2"/>
    <n v="1"/>
    <x v="0"/>
    <n v="0"/>
    <x v="0"/>
  </r>
  <r>
    <s v="15-19"/>
    <x v="0"/>
    <s v="Rupay (Credit card UPI)"/>
    <s v="3-5"/>
    <n v="4"/>
    <s v="6 - 15 mins"/>
    <n v="10.5"/>
    <s v="₹501 – ₹1,000"/>
    <n v="750"/>
    <x v="2"/>
    <n v="1"/>
    <x v="0"/>
    <n v="0"/>
    <x v="0"/>
  </r>
  <r>
    <s v="20-24"/>
    <x v="0"/>
    <s v="UPI (GPay, PhonePe, etc.)"/>
    <s v="6-10"/>
    <n v="8"/>
    <s v="6 - 15 mins"/>
    <n v="10.5"/>
    <s v="₹101 – ₹500"/>
    <n v="300"/>
    <x v="2"/>
    <n v="1"/>
    <x v="0"/>
    <n v="0"/>
    <x v="0"/>
  </r>
  <r>
    <s v="15-19"/>
    <x v="0"/>
    <s v="Cash"/>
    <s v="3-5"/>
    <n v="4"/>
    <s v="0 - 5 mins"/>
    <n v="2.5"/>
    <s v="₹101 – ₹500"/>
    <n v="300"/>
    <x v="2"/>
    <n v="1"/>
    <x v="0"/>
    <n v="0"/>
    <x v="5"/>
  </r>
  <r>
    <s v="20-24"/>
    <x v="0"/>
    <s v="UPI (GPay, PhonePe, etc.)"/>
    <s v="3-5"/>
    <n v="4"/>
    <s v="0 - 5 mins"/>
    <n v="2.5"/>
    <s v="Less than ₹100"/>
    <n v="50"/>
    <x v="2"/>
    <n v="1"/>
    <x v="0"/>
    <n v="0"/>
    <x v="0"/>
  </r>
  <r>
    <s v="15-19"/>
    <x v="0"/>
    <s v="Cash"/>
    <s v="1-2"/>
    <n v="1.5"/>
    <s v="0 - 5 mins"/>
    <n v="2.5"/>
    <s v="Less than ₹100"/>
    <n v="50"/>
    <x v="2"/>
    <n v="1"/>
    <x v="0"/>
    <n v="0"/>
    <x v="9"/>
  </r>
  <r>
    <s v="25-29"/>
    <x v="1"/>
    <s v="Credit / Debit Cards"/>
    <s v="3-5"/>
    <n v="4"/>
    <s v="0 - 5 mins"/>
    <n v="2.5"/>
    <s v="₹501 – ₹1,000"/>
    <n v="750"/>
    <x v="1"/>
    <n v="0"/>
    <x v="0"/>
    <n v="0"/>
    <x v="3"/>
  </r>
  <r>
    <s v="15-19"/>
    <x v="0"/>
    <s v="UPI (GPay, PhonePe, etc.)"/>
    <s v="More than 10"/>
    <n v="11"/>
    <s v="6 - 15 mins"/>
    <n v="10.5"/>
    <s v="₹101 – ₹500"/>
    <n v="300"/>
    <x v="2"/>
    <n v="1"/>
    <x v="0"/>
    <n v="0"/>
    <x v="4"/>
  </r>
  <r>
    <s v="20-24"/>
    <x v="2"/>
    <s v="UPI (GPay, PhonePe, etc.)"/>
    <s v="3-5"/>
    <n v="4"/>
    <s v="16 - 30 mins"/>
    <n v="23"/>
    <s v="₹101 – ₹500"/>
    <n v="300"/>
    <x v="2"/>
    <n v="1"/>
    <x v="0"/>
    <n v="0"/>
    <x v="1"/>
  </r>
  <r>
    <s v="Above 30"/>
    <x v="1"/>
    <s v="Cash"/>
    <s v="More than 10"/>
    <n v="11"/>
    <s v="6 - 15 mins"/>
    <n v="10.5"/>
    <s v="₹101 – ₹500"/>
    <n v="300"/>
    <x v="2"/>
    <n v="1"/>
    <x v="0"/>
    <n v="0"/>
    <x v="0"/>
  </r>
  <r>
    <s v="15-19"/>
    <x v="0"/>
    <s v="UPI (GPay, PhonePe, etc.)"/>
    <s v="3-5"/>
    <n v="4"/>
    <s v="More than 60 mins"/>
    <n v="61"/>
    <s v="₹101 – ₹500"/>
    <n v="300"/>
    <x v="2"/>
    <n v="1"/>
    <x v="2"/>
    <n v="1"/>
    <x v="7"/>
  </r>
  <r>
    <s v="20-24"/>
    <x v="0"/>
    <s v="UPI (GPay, PhonePe, etc.)"/>
    <s v="More than 10"/>
    <n v="11"/>
    <s v="0 - 5 mins"/>
    <n v="2.5"/>
    <s v="₹101 – ₹500"/>
    <n v="300"/>
    <x v="1"/>
    <n v="0"/>
    <x v="0"/>
    <n v="0"/>
    <x v="0"/>
  </r>
  <r>
    <s v="15-19"/>
    <x v="0"/>
    <s v="UPI (GPay, PhonePe, etc.)"/>
    <s v="3-5"/>
    <n v="4"/>
    <s v="0 - 5 mins"/>
    <n v="2.5"/>
    <s v="₹101 – ₹500"/>
    <n v="300"/>
    <x v="1"/>
    <n v="0"/>
    <x v="0"/>
    <n v="0"/>
    <x v="4"/>
  </r>
  <r>
    <s v="20-24"/>
    <x v="0"/>
    <s v="UPI (GPay, PhonePe, etc.)"/>
    <s v="More than 10"/>
    <n v="11"/>
    <s v="More than 60 mins"/>
    <n v="61"/>
    <s v="More than ₹2,500"/>
    <n v="2501"/>
    <x v="2"/>
    <n v="1"/>
    <x v="0"/>
    <n v="0"/>
    <x v="4"/>
  </r>
  <r>
    <s v="15-19"/>
    <x v="0"/>
    <s v="UPI (GPay, PhonePe, etc.)"/>
    <s v="6-10"/>
    <n v="8"/>
    <s v="0 - 5 mins"/>
    <n v="2.5"/>
    <s v="₹101 – ₹500"/>
    <n v="300"/>
    <x v="2"/>
    <n v="1"/>
    <x v="2"/>
    <n v="1"/>
    <x v="1"/>
  </r>
  <r>
    <s v="20-24"/>
    <x v="0"/>
    <s v="UPI (GPay, PhonePe, etc.)"/>
    <s v="3-5"/>
    <n v="4"/>
    <s v="0 - 5 mins"/>
    <n v="2.5"/>
    <s v="₹101 – ₹500"/>
    <n v="300"/>
    <x v="2"/>
    <n v="1"/>
    <x v="0"/>
    <n v="0"/>
    <x v="0"/>
  </r>
  <r>
    <s v="20-24"/>
    <x v="0"/>
    <s v="UPI (GPay, PhonePe, etc.)"/>
    <s v="3-5"/>
    <n v="4"/>
    <s v="0 - 5 mins"/>
    <n v="2.5"/>
    <s v="₹101 – ₹500"/>
    <n v="300"/>
    <x v="2"/>
    <n v="1"/>
    <x v="0"/>
    <n v="0"/>
    <x v="0"/>
  </r>
  <r>
    <s v="15-19"/>
    <x v="0"/>
    <s v="UPI (GPay, PhonePe, etc.)"/>
    <s v="6-10"/>
    <n v="8"/>
    <s v="0 - 5 mins"/>
    <n v="2.5"/>
    <s v="Less than ₹100"/>
    <n v="50"/>
    <x v="2"/>
    <n v="1"/>
    <x v="0"/>
    <n v="0"/>
    <x v="4"/>
  </r>
  <r>
    <s v="20-24"/>
    <x v="0"/>
    <s v="UPI (GPay, PhonePe, etc.)"/>
    <s v="6-10"/>
    <n v="8"/>
    <s v="0 - 5 mins"/>
    <n v="2.5"/>
    <s v="₹501 – ₹1,000"/>
    <n v="750"/>
    <x v="2"/>
    <n v="1"/>
    <x v="0"/>
    <n v="0"/>
    <x v="4"/>
  </r>
  <r>
    <s v="20-24"/>
    <x v="0"/>
    <s v="UPI (GPay, PhonePe, etc.)"/>
    <s v="More than 10"/>
    <n v="11"/>
    <s v="0 - 5 mins"/>
    <n v="2.5"/>
    <s v="₹101 – ₹500"/>
    <n v="300"/>
    <x v="2"/>
    <n v="1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9:F20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164" showAll="0"/>
    <pivotField axis="axisRow" dataField="1" numFmtId="164" showAll="0">
      <items count="11">
        <item x="6"/>
        <item x="8"/>
        <item x="2"/>
        <item x="9"/>
        <item x="5"/>
        <item x="7"/>
        <item x="1"/>
        <item x="0"/>
        <item x="4"/>
        <item x="3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onfidence_Score" fld="13" subtotal="count" baseField="13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2:F6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axis="axisRow" dataField="1" showAll="0">
      <items count="4">
        <item x="0"/>
        <item x="1"/>
        <item x="2"/>
        <item t="default"/>
      </items>
    </pivotField>
    <pivotField numFmtId="2" showAll="0"/>
    <pivotField showAll="0"/>
    <pivotField numFmtId="164" showAll="0"/>
    <pivotField numFmtId="164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_Failur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9:B23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axis="axisRow" dataField="1" showAll="0">
      <items count="4">
        <item x="1"/>
        <item x="0"/>
        <item x="2"/>
        <item t="default"/>
      </items>
    </pivotField>
    <pivotField numFmtId="164" showAll="0"/>
    <pivotField numFmtId="16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aud_Attempt" fld="1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6" firstHeaderRow="1" firstDataRow="1" firstDataCol="1"/>
  <pivotFields count="2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_Mode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set.xlsx!Form_Responses">
        <x15:activeTabTopLevelEntity name="[Form_Response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B6" firstHeaderRow="1" firstDataRow="1" firstDataCol="1"/>
  <pivotFields count="14"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numFmtId="164"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1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Form_Responses" displayName="Form_Responses" ref="A1:N62" headerRowDxfId="15" totalsRowDxfId="14">
  <autoFilter ref="A1:N62"/>
  <tableColumns count="14">
    <tableColumn id="5" name="Age" dataDxfId="13"/>
    <tableColumn id="6" name="Status" dataDxfId="12"/>
    <tableColumn id="7" name="Payment_Mode" dataDxfId="11"/>
    <tableColumn id="8" name="Daily_Transactions_Category" dataDxfId="7"/>
    <tableColumn id="1" name="Daily_Transaction_Code" dataDxfId="5">
      <calculatedColumnFormula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calculatedColumnFormula>
    </tableColumn>
    <tableColumn id="9" name="Review_Time" dataDxfId="6"/>
    <tableColumn id="2" name="Review_Time_Code" dataDxfId="10">
      <calculatedColumnFormula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calculatedColumnFormula>
    </tableColumn>
    <tableColumn id="10" name="Daily_Spend" dataDxfId="4"/>
    <tableColumn id="3" name="Daily_Spend_Code" dataDxfId="3">
      <calculatedColumnFormula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calculatedColumnFormula>
    </tableColumn>
    <tableColumn id="11" name="Payment_Failure" dataDxfId="2"/>
    <tableColumn id="4" name="Payment_Failure_Code" dataDxfId="0">
      <calculatedColumnFormula>IF(Form_Responses[[#This Row],[Payment_Failure]]="Yes",1,IF(Form_Responses[[#This Row],[Payment_Failure]]="Maybe",0.5,IF(Form_Responses[[#This Row],[Payment_Failure]]="No",0,"")))</calculatedColumnFormula>
    </tableColumn>
    <tableColumn id="12" name="Fraud_Attempt" dataDxfId="1"/>
    <tableColumn id="14" name="Fraud_Code" dataDxfId="9">
      <calculatedColumnFormula>IF(Form_Responses[[#This Row],[Fraud_Attempt]]="Yes",1,IF(Form_Responses[[#This Row],[Fraud_Attempt]]="Maybe",0.5,IF(Form_Responses[[#This Row],[Fraud_Attempt]]="No",0,"")))</calculatedColumnFormula>
    </tableColumn>
    <tableColumn id="13" name="Confidence_Score" dataDxfId="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62"/>
  <sheetViews>
    <sheetView tabSelected="1" topLeftCell="H1" zoomScale="70" zoomScaleNormal="70" workbookViewId="0">
      <pane ySplit="1" topLeftCell="A30" activePane="bottomLeft" state="frozen"/>
      <selection pane="bottomLeft" sqref="A1:N62"/>
    </sheetView>
  </sheetViews>
  <sheetFormatPr defaultColWidth="12.6640625" defaultRowHeight="15.75" customHeight="1" x14ac:dyDescent="0.25"/>
  <cols>
    <col min="1" max="1" width="18.88671875" style="5" customWidth="1"/>
    <col min="2" max="4" width="37.6640625" style="5" customWidth="1"/>
    <col min="5" max="5" width="37.6640625" style="9" customWidth="1"/>
    <col min="6" max="6" width="37.6640625" style="5" customWidth="1"/>
    <col min="7" max="7" width="37.6640625" style="9" customWidth="1"/>
    <col min="8" max="8" width="37.6640625" style="5" customWidth="1"/>
    <col min="9" max="9" width="37.6640625" style="9" customWidth="1"/>
    <col min="10" max="10" width="37.6640625" style="1" customWidth="1"/>
    <col min="11" max="11" width="37.6640625" style="9" customWidth="1"/>
    <col min="12" max="13" width="37.6640625" style="1" customWidth="1"/>
    <col min="14" max="14" width="37.6640625" style="12" customWidth="1"/>
    <col min="15" max="20" width="18.88671875" style="1" customWidth="1"/>
    <col min="21" max="16384" width="12.6640625" style="1"/>
  </cols>
  <sheetData>
    <row r="1" spans="1:14" ht="22.5" customHeight="1" x14ac:dyDescent="0.25">
      <c r="A1" s="3" t="s">
        <v>0</v>
      </c>
      <c r="B1" s="3" t="s">
        <v>30</v>
      </c>
      <c r="C1" s="3" t="s">
        <v>31</v>
      </c>
      <c r="D1" s="3" t="s">
        <v>32</v>
      </c>
      <c r="E1" s="6" t="s">
        <v>33</v>
      </c>
      <c r="F1" s="3" t="s">
        <v>34</v>
      </c>
      <c r="G1" s="6" t="s">
        <v>35</v>
      </c>
      <c r="H1" s="3" t="s">
        <v>36</v>
      </c>
      <c r="I1" s="6" t="s">
        <v>37</v>
      </c>
      <c r="J1" s="3" t="s">
        <v>38</v>
      </c>
      <c r="K1" s="6" t="s">
        <v>39</v>
      </c>
      <c r="L1" s="3" t="s">
        <v>40</v>
      </c>
      <c r="M1" s="10" t="s">
        <v>41</v>
      </c>
      <c r="N1" s="10" t="s">
        <v>42</v>
      </c>
    </row>
    <row r="2" spans="1:14" ht="22.5" customHeight="1" x14ac:dyDescent="0.25">
      <c r="A2" s="2" t="s">
        <v>1</v>
      </c>
      <c r="B2" s="2" t="s">
        <v>2</v>
      </c>
      <c r="C2" s="2" t="s">
        <v>3</v>
      </c>
      <c r="D2" s="4" t="s">
        <v>4</v>
      </c>
      <c r="E2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" s="2" t="s">
        <v>5</v>
      </c>
      <c r="G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45.5</v>
      </c>
      <c r="H2" s="2" t="s">
        <v>6</v>
      </c>
      <c r="I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1750</v>
      </c>
      <c r="J2" s="2" t="s">
        <v>7</v>
      </c>
      <c r="K2" s="8">
        <f>IF(Form_Responses[[#This Row],[Payment_Failure]]="Yes",1,IF(Form_Responses[[#This Row],[Payment_Failure]]="Maybe",0.5,IF(Form_Responses[[#This Row],[Payment_Failure]]="No",0,"")))</f>
        <v>0.5</v>
      </c>
      <c r="L2" s="2" t="s">
        <v>8</v>
      </c>
      <c r="M2" s="11">
        <f>IF(Form_Responses[[#This Row],[Fraud_Attempt]]="Yes",1,IF(Form_Responses[[#This Row],[Fraud_Attempt]]="Maybe",0.5,IF(Form_Responses[[#This Row],[Fraud_Attempt]]="No",0,"")))</f>
        <v>0</v>
      </c>
      <c r="N2" s="11">
        <v>8</v>
      </c>
    </row>
    <row r="3" spans="1:14" ht="22.5" customHeight="1" x14ac:dyDescent="0.25">
      <c r="A3" s="2" t="s">
        <v>9</v>
      </c>
      <c r="B3" s="2" t="s">
        <v>2</v>
      </c>
      <c r="C3" s="2" t="s">
        <v>10</v>
      </c>
      <c r="D3" s="4" t="s">
        <v>4</v>
      </c>
      <c r="E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3" s="2" t="s">
        <v>11</v>
      </c>
      <c r="G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" s="2" t="s">
        <v>12</v>
      </c>
      <c r="I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3" s="2" t="s">
        <v>8</v>
      </c>
      <c r="K3" s="8">
        <f>IF(Form_Responses[[#This Row],[Payment_Failure]]="Yes",1,IF(Form_Responses[[#This Row],[Payment_Failure]]="Maybe",0.5,IF(Form_Responses[[#This Row],[Payment_Failure]]="No",0,"")))</f>
        <v>0</v>
      </c>
      <c r="L3" s="2" t="s">
        <v>8</v>
      </c>
      <c r="M3" s="11">
        <f>IF(Form_Responses[[#This Row],[Fraud_Attempt]]="Yes",1,IF(Form_Responses[[#This Row],[Fraud_Attempt]]="Maybe",0.5,IF(Form_Responses[[#This Row],[Fraud_Attempt]]="No",0,"")))</f>
        <v>0</v>
      </c>
      <c r="N3" s="11">
        <v>7</v>
      </c>
    </row>
    <row r="4" spans="1:14" ht="22.5" customHeight="1" x14ac:dyDescent="0.25">
      <c r="A4" s="2" t="s">
        <v>9</v>
      </c>
      <c r="B4" s="2" t="s">
        <v>2</v>
      </c>
      <c r="C4" s="2" t="s">
        <v>10</v>
      </c>
      <c r="D4" s="4" t="s">
        <v>13</v>
      </c>
      <c r="E4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" s="2" t="s">
        <v>11</v>
      </c>
      <c r="G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" s="2" t="s">
        <v>12</v>
      </c>
      <c r="I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" s="2" t="s">
        <v>14</v>
      </c>
      <c r="K4" s="8">
        <f>IF(Form_Responses[[#This Row],[Payment_Failure]]="Yes",1,IF(Form_Responses[[#This Row],[Payment_Failure]]="Maybe",0.5,IF(Form_Responses[[#This Row],[Payment_Failure]]="No",0,"")))</f>
        <v>1</v>
      </c>
      <c r="L4" s="2" t="s">
        <v>8</v>
      </c>
      <c r="M4" s="11">
        <f>IF(Form_Responses[[#This Row],[Fraud_Attempt]]="Yes",1,IF(Form_Responses[[#This Row],[Fraud_Attempt]]="Maybe",0.5,IF(Form_Responses[[#This Row],[Fraud_Attempt]]="No",0,"")))</f>
        <v>0</v>
      </c>
      <c r="N4" s="11">
        <v>8</v>
      </c>
    </row>
    <row r="5" spans="1:14" ht="22.5" customHeight="1" x14ac:dyDescent="0.25">
      <c r="A5" s="2" t="s">
        <v>1</v>
      </c>
      <c r="B5" s="2" t="s">
        <v>2</v>
      </c>
      <c r="C5" s="2" t="s">
        <v>15</v>
      </c>
      <c r="D5" s="4" t="s">
        <v>16</v>
      </c>
      <c r="E5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5" s="2" t="s">
        <v>11</v>
      </c>
      <c r="G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" s="2" t="s">
        <v>17</v>
      </c>
      <c r="I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5" s="2" t="s">
        <v>8</v>
      </c>
      <c r="K5" s="8">
        <f>IF(Form_Responses[[#This Row],[Payment_Failure]]="Yes",1,IF(Form_Responses[[#This Row],[Payment_Failure]]="Maybe",0.5,IF(Form_Responses[[#This Row],[Payment_Failure]]="No",0,"")))</f>
        <v>0</v>
      </c>
      <c r="L5" s="2" t="s">
        <v>8</v>
      </c>
      <c r="M5" s="11">
        <f>IF(Form_Responses[[#This Row],[Fraud_Attempt]]="Yes",1,IF(Form_Responses[[#This Row],[Fraud_Attempt]]="Maybe",0.5,IF(Form_Responses[[#This Row],[Fraud_Attempt]]="No",0,"")))</f>
        <v>0</v>
      </c>
      <c r="N5" s="11">
        <v>3</v>
      </c>
    </row>
    <row r="6" spans="1:14" ht="22.5" customHeight="1" x14ac:dyDescent="0.25">
      <c r="A6" s="2" t="s">
        <v>9</v>
      </c>
      <c r="B6" s="2" t="s">
        <v>2</v>
      </c>
      <c r="C6" s="2" t="s">
        <v>10</v>
      </c>
      <c r="D6" s="4" t="s">
        <v>13</v>
      </c>
      <c r="E6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6" s="2" t="s">
        <v>18</v>
      </c>
      <c r="G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61</v>
      </c>
      <c r="H6" s="2" t="s">
        <v>12</v>
      </c>
      <c r="I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6" s="2" t="s">
        <v>14</v>
      </c>
      <c r="K6" s="8">
        <f>IF(Form_Responses[[#This Row],[Payment_Failure]]="Yes",1,IF(Form_Responses[[#This Row],[Payment_Failure]]="Maybe",0.5,IF(Form_Responses[[#This Row],[Payment_Failure]]="No",0,"")))</f>
        <v>1</v>
      </c>
      <c r="L6" s="2" t="s">
        <v>8</v>
      </c>
      <c r="M6" s="11">
        <f>IF(Form_Responses[[#This Row],[Fraud_Attempt]]="Yes",1,IF(Form_Responses[[#This Row],[Fraud_Attempt]]="Maybe",0.5,IF(Form_Responses[[#This Row],[Fraud_Attempt]]="No",0,"")))</f>
        <v>0</v>
      </c>
      <c r="N6" s="11">
        <v>7</v>
      </c>
    </row>
    <row r="7" spans="1:14" ht="22.5" customHeight="1" x14ac:dyDescent="0.25">
      <c r="A7" s="2" t="s">
        <v>19</v>
      </c>
      <c r="B7" s="2" t="s">
        <v>20</v>
      </c>
      <c r="C7" s="2" t="s">
        <v>10</v>
      </c>
      <c r="D7" s="4" t="s">
        <v>13</v>
      </c>
      <c r="E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7" s="2" t="s">
        <v>5</v>
      </c>
      <c r="G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45.5</v>
      </c>
      <c r="H7" s="2" t="s">
        <v>12</v>
      </c>
      <c r="I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7" s="2" t="s">
        <v>8</v>
      </c>
      <c r="K7" s="8">
        <f>IF(Form_Responses[[#This Row],[Payment_Failure]]="Yes",1,IF(Form_Responses[[#This Row],[Payment_Failure]]="Maybe",0.5,IF(Form_Responses[[#This Row],[Payment_Failure]]="No",0,"")))</f>
        <v>0</v>
      </c>
      <c r="L7" s="2" t="s">
        <v>8</v>
      </c>
      <c r="M7" s="11">
        <f>IF(Form_Responses[[#This Row],[Fraud_Attempt]]="Yes",1,IF(Form_Responses[[#This Row],[Fraud_Attempt]]="Maybe",0.5,IF(Form_Responses[[#This Row],[Fraud_Attempt]]="No",0,"")))</f>
        <v>0</v>
      </c>
      <c r="N7" s="11">
        <v>10</v>
      </c>
    </row>
    <row r="8" spans="1:14" ht="22.5" customHeight="1" x14ac:dyDescent="0.25">
      <c r="A8" s="2" t="s">
        <v>9</v>
      </c>
      <c r="B8" s="2" t="s">
        <v>2</v>
      </c>
      <c r="C8" s="2" t="s">
        <v>10</v>
      </c>
      <c r="D8" s="4" t="s">
        <v>4</v>
      </c>
      <c r="E8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8" s="2" t="s">
        <v>21</v>
      </c>
      <c r="G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8" s="2" t="s">
        <v>12</v>
      </c>
      <c r="I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8" s="2" t="s">
        <v>14</v>
      </c>
      <c r="K8" s="8">
        <f>IF(Form_Responses[[#This Row],[Payment_Failure]]="Yes",1,IF(Form_Responses[[#This Row],[Payment_Failure]]="Maybe",0.5,IF(Form_Responses[[#This Row],[Payment_Failure]]="No",0,"")))</f>
        <v>1</v>
      </c>
      <c r="L8" s="2" t="s">
        <v>8</v>
      </c>
      <c r="M8" s="11">
        <f>IF(Form_Responses[[#This Row],[Fraud_Attempt]]="Yes",1,IF(Form_Responses[[#This Row],[Fraud_Attempt]]="Maybe",0.5,IF(Form_Responses[[#This Row],[Fraud_Attempt]]="No",0,"")))</f>
        <v>0</v>
      </c>
      <c r="N8" s="11">
        <v>9</v>
      </c>
    </row>
    <row r="9" spans="1:14" ht="22.5" customHeight="1" x14ac:dyDescent="0.25">
      <c r="A9" s="2" t="s">
        <v>1</v>
      </c>
      <c r="B9" s="2" t="s">
        <v>2</v>
      </c>
      <c r="C9" s="2" t="s">
        <v>10</v>
      </c>
      <c r="D9" s="4" t="s">
        <v>4</v>
      </c>
      <c r="E9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9" s="2" t="s">
        <v>22</v>
      </c>
      <c r="G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9" s="2" t="s">
        <v>12</v>
      </c>
      <c r="I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9" s="2" t="s">
        <v>14</v>
      </c>
      <c r="K9" s="8">
        <f>IF(Form_Responses[[#This Row],[Payment_Failure]]="Yes",1,IF(Form_Responses[[#This Row],[Payment_Failure]]="Maybe",0.5,IF(Form_Responses[[#This Row],[Payment_Failure]]="No",0,"")))</f>
        <v>1</v>
      </c>
      <c r="L9" s="2" t="s">
        <v>8</v>
      </c>
      <c r="M9" s="11">
        <f>IF(Form_Responses[[#This Row],[Fraud_Attempt]]="Yes",1,IF(Form_Responses[[#This Row],[Fraud_Attempt]]="Maybe",0.5,IF(Form_Responses[[#This Row],[Fraud_Attempt]]="No",0,"")))</f>
        <v>0</v>
      </c>
      <c r="N9" s="11">
        <v>7</v>
      </c>
    </row>
    <row r="10" spans="1:14" ht="22.5" customHeight="1" x14ac:dyDescent="0.25">
      <c r="A10" s="2" t="s">
        <v>9</v>
      </c>
      <c r="B10" s="2" t="s">
        <v>2</v>
      </c>
      <c r="C10" s="2" t="s">
        <v>10</v>
      </c>
      <c r="D10" s="4" t="s">
        <v>13</v>
      </c>
      <c r="E10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0" s="2" t="s">
        <v>22</v>
      </c>
      <c r="G1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10" s="2" t="s">
        <v>12</v>
      </c>
      <c r="I1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0" s="2" t="s">
        <v>14</v>
      </c>
      <c r="K10" s="8">
        <f>IF(Form_Responses[[#This Row],[Payment_Failure]]="Yes",1,IF(Form_Responses[[#This Row],[Payment_Failure]]="Maybe",0.5,IF(Form_Responses[[#This Row],[Payment_Failure]]="No",0,"")))</f>
        <v>1</v>
      </c>
      <c r="L10" s="2" t="s">
        <v>8</v>
      </c>
      <c r="M10" s="11">
        <f>IF(Form_Responses[[#This Row],[Fraud_Attempt]]="Yes",1,IF(Form_Responses[[#This Row],[Fraud_Attempt]]="Maybe",0.5,IF(Form_Responses[[#This Row],[Fraud_Attempt]]="No",0,"")))</f>
        <v>0</v>
      </c>
      <c r="N10" s="11">
        <v>8</v>
      </c>
    </row>
    <row r="11" spans="1:14" ht="22.5" customHeight="1" x14ac:dyDescent="0.25">
      <c r="A11" s="2" t="s">
        <v>1</v>
      </c>
      <c r="B11" s="2" t="s">
        <v>2</v>
      </c>
      <c r="C11" s="2" t="s">
        <v>10</v>
      </c>
      <c r="D11" s="4" t="s">
        <v>13</v>
      </c>
      <c r="E11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1" s="2" t="s">
        <v>21</v>
      </c>
      <c r="G1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11" s="2" t="s">
        <v>23</v>
      </c>
      <c r="I1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2501</v>
      </c>
      <c r="J11" s="2" t="s">
        <v>14</v>
      </c>
      <c r="K11" s="8">
        <f>IF(Form_Responses[[#This Row],[Payment_Failure]]="Yes",1,IF(Form_Responses[[#This Row],[Payment_Failure]]="Maybe",0.5,IF(Form_Responses[[#This Row],[Payment_Failure]]="No",0,"")))</f>
        <v>1</v>
      </c>
      <c r="L11" s="2" t="s">
        <v>8</v>
      </c>
      <c r="M11" s="11">
        <f>IF(Form_Responses[[#This Row],[Fraud_Attempt]]="Yes",1,IF(Form_Responses[[#This Row],[Fraud_Attempt]]="Maybe",0.5,IF(Form_Responses[[#This Row],[Fraud_Attempt]]="No",0,"")))</f>
        <v>0</v>
      </c>
      <c r="N11" s="11">
        <v>8</v>
      </c>
    </row>
    <row r="12" spans="1:14" ht="22.5" customHeight="1" x14ac:dyDescent="0.25">
      <c r="A12" s="2" t="s">
        <v>1</v>
      </c>
      <c r="B12" s="2" t="s">
        <v>2</v>
      </c>
      <c r="C12" s="2" t="s">
        <v>10</v>
      </c>
      <c r="D12" s="4" t="s">
        <v>13</v>
      </c>
      <c r="E12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2" s="2" t="s">
        <v>11</v>
      </c>
      <c r="G1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12" s="2" t="s">
        <v>17</v>
      </c>
      <c r="I1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12" s="2" t="s">
        <v>7</v>
      </c>
      <c r="K12" s="8">
        <f>IF(Form_Responses[[#This Row],[Payment_Failure]]="Yes",1,IF(Form_Responses[[#This Row],[Payment_Failure]]="Maybe",0.5,IF(Form_Responses[[#This Row],[Payment_Failure]]="No",0,"")))</f>
        <v>0.5</v>
      </c>
      <c r="L12" s="2" t="s">
        <v>8</v>
      </c>
      <c r="M12" s="11">
        <f>IF(Form_Responses[[#This Row],[Fraud_Attempt]]="Yes",1,IF(Form_Responses[[#This Row],[Fraud_Attempt]]="Maybe",0.5,IF(Form_Responses[[#This Row],[Fraud_Attempt]]="No",0,"")))</f>
        <v>0</v>
      </c>
      <c r="N12" s="11">
        <v>8</v>
      </c>
    </row>
    <row r="13" spans="1:14" ht="22.5" customHeight="1" x14ac:dyDescent="0.25">
      <c r="A13" s="2" t="s">
        <v>1</v>
      </c>
      <c r="B13" s="2" t="s">
        <v>2</v>
      </c>
      <c r="C13" s="2" t="s">
        <v>10</v>
      </c>
      <c r="D13" s="4" t="s">
        <v>13</v>
      </c>
      <c r="E1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3" s="2" t="s">
        <v>11</v>
      </c>
      <c r="G1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13" s="2" t="s">
        <v>12</v>
      </c>
      <c r="I1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3" s="2" t="s">
        <v>8</v>
      </c>
      <c r="K13" s="8">
        <f>IF(Form_Responses[[#This Row],[Payment_Failure]]="Yes",1,IF(Form_Responses[[#This Row],[Payment_Failure]]="Maybe",0.5,IF(Form_Responses[[#This Row],[Payment_Failure]]="No",0,"")))</f>
        <v>0</v>
      </c>
      <c r="L13" s="2" t="s">
        <v>8</v>
      </c>
      <c r="M13" s="11">
        <f>IF(Form_Responses[[#This Row],[Fraud_Attempt]]="Yes",1,IF(Form_Responses[[#This Row],[Fraud_Attempt]]="Maybe",0.5,IF(Form_Responses[[#This Row],[Fraud_Attempt]]="No",0,"")))</f>
        <v>0</v>
      </c>
      <c r="N13" s="11">
        <v>9</v>
      </c>
    </row>
    <row r="14" spans="1:14" ht="22.5" customHeight="1" x14ac:dyDescent="0.25">
      <c r="A14" s="2" t="s">
        <v>19</v>
      </c>
      <c r="B14" s="2" t="s">
        <v>20</v>
      </c>
      <c r="C14" s="2" t="s">
        <v>10</v>
      </c>
      <c r="D14" s="4" t="s">
        <v>13</v>
      </c>
      <c r="E14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4" s="2" t="s">
        <v>22</v>
      </c>
      <c r="G1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14" s="2" t="s">
        <v>24</v>
      </c>
      <c r="I1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14" s="2" t="s">
        <v>7</v>
      </c>
      <c r="K14" s="8">
        <f>IF(Form_Responses[[#This Row],[Payment_Failure]]="Yes",1,IF(Form_Responses[[#This Row],[Payment_Failure]]="Maybe",0.5,IF(Form_Responses[[#This Row],[Payment_Failure]]="No",0,"")))</f>
        <v>0.5</v>
      </c>
      <c r="L14" s="2" t="s">
        <v>7</v>
      </c>
      <c r="M14" s="11">
        <f>IF(Form_Responses[[#This Row],[Fraud_Attempt]]="Yes",1,IF(Form_Responses[[#This Row],[Fraud_Attempt]]="Maybe",0.5,IF(Form_Responses[[#This Row],[Fraud_Attempt]]="No",0,"")))</f>
        <v>0.5</v>
      </c>
      <c r="N14" s="11">
        <v>5</v>
      </c>
    </row>
    <row r="15" spans="1:14" ht="22.5" customHeight="1" x14ac:dyDescent="0.25">
      <c r="A15" s="2" t="s">
        <v>9</v>
      </c>
      <c r="B15" s="2" t="s">
        <v>2</v>
      </c>
      <c r="C15" s="2" t="s">
        <v>10</v>
      </c>
      <c r="D15" s="4" t="s">
        <v>4</v>
      </c>
      <c r="E15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15" s="2" t="s">
        <v>11</v>
      </c>
      <c r="G1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15" s="2" t="s">
        <v>12</v>
      </c>
      <c r="I1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5" s="2" t="s">
        <v>14</v>
      </c>
      <c r="K15" s="8">
        <f>IF(Form_Responses[[#This Row],[Payment_Failure]]="Yes",1,IF(Form_Responses[[#This Row],[Payment_Failure]]="Maybe",0.5,IF(Form_Responses[[#This Row],[Payment_Failure]]="No",0,"")))</f>
        <v>1</v>
      </c>
      <c r="L15" s="2" t="s">
        <v>8</v>
      </c>
      <c r="M15" s="11">
        <f>IF(Form_Responses[[#This Row],[Fraud_Attempt]]="Yes",1,IF(Form_Responses[[#This Row],[Fraud_Attempt]]="Maybe",0.5,IF(Form_Responses[[#This Row],[Fraud_Attempt]]="No",0,"")))</f>
        <v>0</v>
      </c>
      <c r="N15" s="11">
        <v>5</v>
      </c>
    </row>
    <row r="16" spans="1:14" ht="22.5" customHeight="1" x14ac:dyDescent="0.25">
      <c r="A16" s="2" t="s">
        <v>9</v>
      </c>
      <c r="B16" s="2" t="s">
        <v>2</v>
      </c>
      <c r="C16" s="2" t="s">
        <v>10</v>
      </c>
      <c r="D16" s="4" t="s">
        <v>13</v>
      </c>
      <c r="E16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6" s="2" t="s">
        <v>21</v>
      </c>
      <c r="G1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16" s="2" t="s">
        <v>12</v>
      </c>
      <c r="I1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6" s="2" t="s">
        <v>14</v>
      </c>
      <c r="K16" s="8">
        <f>IF(Form_Responses[[#This Row],[Payment_Failure]]="Yes",1,IF(Form_Responses[[#This Row],[Payment_Failure]]="Maybe",0.5,IF(Form_Responses[[#This Row],[Payment_Failure]]="No",0,"")))</f>
        <v>1</v>
      </c>
      <c r="L16" s="2" t="s">
        <v>14</v>
      </c>
      <c r="M16" s="11">
        <f>IF(Form_Responses[[#This Row],[Fraud_Attempt]]="Yes",1,IF(Form_Responses[[#This Row],[Fraud_Attempt]]="Maybe",0.5,IF(Form_Responses[[#This Row],[Fraud_Attempt]]="No",0,"")))</f>
        <v>1</v>
      </c>
      <c r="N16" s="11">
        <v>8</v>
      </c>
    </row>
    <row r="17" spans="1:14" ht="22.5" customHeight="1" x14ac:dyDescent="0.25">
      <c r="A17" s="2" t="s">
        <v>9</v>
      </c>
      <c r="B17" s="2" t="s">
        <v>2</v>
      </c>
      <c r="C17" s="2" t="s">
        <v>10</v>
      </c>
      <c r="D17" s="4" t="s">
        <v>4</v>
      </c>
      <c r="E1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17" s="2" t="s">
        <v>11</v>
      </c>
      <c r="G1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17" s="2" t="s">
        <v>12</v>
      </c>
      <c r="I1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7" s="2" t="s">
        <v>14</v>
      </c>
      <c r="K17" s="8">
        <f>IF(Form_Responses[[#This Row],[Payment_Failure]]="Yes",1,IF(Form_Responses[[#This Row],[Payment_Failure]]="Maybe",0.5,IF(Form_Responses[[#This Row],[Payment_Failure]]="No",0,"")))</f>
        <v>1</v>
      </c>
      <c r="L17" s="2" t="s">
        <v>8</v>
      </c>
      <c r="M17" s="11">
        <f>IF(Form_Responses[[#This Row],[Fraud_Attempt]]="Yes",1,IF(Form_Responses[[#This Row],[Fraud_Attempt]]="Maybe",0.5,IF(Form_Responses[[#This Row],[Fraud_Attempt]]="No",0,"")))</f>
        <v>0</v>
      </c>
      <c r="N17" s="11">
        <v>8</v>
      </c>
    </row>
    <row r="18" spans="1:14" ht="22.5" customHeight="1" x14ac:dyDescent="0.25">
      <c r="A18" s="2" t="s">
        <v>19</v>
      </c>
      <c r="B18" s="2" t="s">
        <v>20</v>
      </c>
      <c r="C18" s="2" t="s">
        <v>10</v>
      </c>
      <c r="D18" s="4" t="s">
        <v>13</v>
      </c>
      <c r="E18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18" s="2" t="s">
        <v>22</v>
      </c>
      <c r="G1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18" s="2" t="s">
        <v>24</v>
      </c>
      <c r="I1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18" s="2" t="s">
        <v>14</v>
      </c>
      <c r="K18" s="8">
        <f>IF(Form_Responses[[#This Row],[Payment_Failure]]="Yes",1,IF(Form_Responses[[#This Row],[Payment_Failure]]="Maybe",0.5,IF(Form_Responses[[#This Row],[Payment_Failure]]="No",0,"")))</f>
        <v>1</v>
      </c>
      <c r="L18" s="2" t="s">
        <v>8</v>
      </c>
      <c r="M18" s="11">
        <f>IF(Form_Responses[[#This Row],[Fraud_Attempt]]="Yes",1,IF(Form_Responses[[#This Row],[Fraud_Attempt]]="Maybe",0.5,IF(Form_Responses[[#This Row],[Fraud_Attempt]]="No",0,"")))</f>
        <v>0</v>
      </c>
      <c r="N18" s="11">
        <v>9</v>
      </c>
    </row>
    <row r="19" spans="1:14" ht="22.5" customHeight="1" x14ac:dyDescent="0.25">
      <c r="A19" s="2" t="s">
        <v>27</v>
      </c>
      <c r="B19" s="2" t="s">
        <v>20</v>
      </c>
      <c r="C19" s="2" t="s">
        <v>10</v>
      </c>
      <c r="D19" s="4" t="s">
        <v>16</v>
      </c>
      <c r="E19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19" s="2" t="s">
        <v>11</v>
      </c>
      <c r="G1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19" s="2" t="s">
        <v>12</v>
      </c>
      <c r="I1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19" s="2" t="s">
        <v>14</v>
      </c>
      <c r="K19" s="8">
        <f>IF(Form_Responses[[#This Row],[Payment_Failure]]="Yes",1,IF(Form_Responses[[#This Row],[Payment_Failure]]="Maybe",0.5,IF(Form_Responses[[#This Row],[Payment_Failure]]="No",0,"")))</f>
        <v>1</v>
      </c>
      <c r="L19" s="2" t="s">
        <v>14</v>
      </c>
      <c r="M19" s="11">
        <f>IF(Form_Responses[[#This Row],[Fraud_Attempt]]="Yes",1,IF(Form_Responses[[#This Row],[Fraud_Attempt]]="Maybe",0.5,IF(Form_Responses[[#This Row],[Fraud_Attempt]]="No",0,"")))</f>
        <v>1</v>
      </c>
      <c r="N19" s="11">
        <v>5</v>
      </c>
    </row>
    <row r="20" spans="1:14" ht="22.5" customHeight="1" x14ac:dyDescent="0.25">
      <c r="A20" s="2" t="s">
        <v>9</v>
      </c>
      <c r="B20" s="2" t="s">
        <v>2</v>
      </c>
      <c r="C20" s="2" t="s">
        <v>15</v>
      </c>
      <c r="D20" s="4" t="s">
        <v>13</v>
      </c>
      <c r="E20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20" s="2" t="s">
        <v>21</v>
      </c>
      <c r="G2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20" s="2" t="s">
        <v>12</v>
      </c>
      <c r="I2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0" s="2" t="s">
        <v>14</v>
      </c>
      <c r="K20" s="8">
        <f>IF(Form_Responses[[#This Row],[Payment_Failure]]="Yes",1,IF(Form_Responses[[#This Row],[Payment_Failure]]="Maybe",0.5,IF(Form_Responses[[#This Row],[Payment_Failure]]="No",0,"")))</f>
        <v>1</v>
      </c>
      <c r="L20" s="2" t="s">
        <v>8</v>
      </c>
      <c r="M20" s="11">
        <f>IF(Form_Responses[[#This Row],[Fraud_Attempt]]="Yes",1,IF(Form_Responses[[#This Row],[Fraud_Attempt]]="Maybe",0.5,IF(Form_Responses[[#This Row],[Fraud_Attempt]]="No",0,"")))</f>
        <v>0</v>
      </c>
      <c r="N20" s="11">
        <v>9</v>
      </c>
    </row>
    <row r="21" spans="1:14" ht="22.5" customHeight="1" x14ac:dyDescent="0.25">
      <c r="A21" s="2" t="s">
        <v>9</v>
      </c>
      <c r="B21" s="2" t="s">
        <v>2</v>
      </c>
      <c r="C21" s="2" t="s">
        <v>10</v>
      </c>
      <c r="D21" s="4" t="s">
        <v>4</v>
      </c>
      <c r="E21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1" s="2" t="s">
        <v>11</v>
      </c>
      <c r="G2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21" s="2" t="s">
        <v>12</v>
      </c>
      <c r="I2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1" s="2" t="s">
        <v>14</v>
      </c>
      <c r="K21" s="8">
        <f>IF(Form_Responses[[#This Row],[Payment_Failure]]="Yes",1,IF(Form_Responses[[#This Row],[Payment_Failure]]="Maybe",0.5,IF(Form_Responses[[#This Row],[Payment_Failure]]="No",0,"")))</f>
        <v>1</v>
      </c>
      <c r="L21" s="2" t="s">
        <v>8</v>
      </c>
      <c r="M21" s="11">
        <f>IF(Form_Responses[[#This Row],[Fraud_Attempt]]="Yes",1,IF(Form_Responses[[#This Row],[Fraud_Attempt]]="Maybe",0.5,IF(Form_Responses[[#This Row],[Fraud_Attempt]]="No",0,"")))</f>
        <v>0</v>
      </c>
      <c r="N21" s="11">
        <v>10</v>
      </c>
    </row>
    <row r="22" spans="1:14" ht="22.5" customHeight="1" x14ac:dyDescent="0.25">
      <c r="A22" s="2" t="s">
        <v>9</v>
      </c>
      <c r="B22" s="2" t="s">
        <v>2</v>
      </c>
      <c r="C22" s="2" t="s">
        <v>15</v>
      </c>
      <c r="D22" s="2">
        <v>0</v>
      </c>
      <c r="E22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0</v>
      </c>
      <c r="F22" s="2" t="s">
        <v>21</v>
      </c>
      <c r="G2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22" s="2" t="s">
        <v>17</v>
      </c>
      <c r="I2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22" s="2" t="s">
        <v>8</v>
      </c>
      <c r="K22" s="8">
        <f>IF(Form_Responses[[#This Row],[Payment_Failure]]="Yes",1,IF(Form_Responses[[#This Row],[Payment_Failure]]="Maybe",0.5,IF(Form_Responses[[#This Row],[Payment_Failure]]="No",0,"")))</f>
        <v>0</v>
      </c>
      <c r="L22" s="2" t="s">
        <v>8</v>
      </c>
      <c r="M22" s="11">
        <f>IF(Form_Responses[[#This Row],[Fraud_Attempt]]="Yes",1,IF(Form_Responses[[#This Row],[Fraud_Attempt]]="Maybe",0.5,IF(Form_Responses[[#This Row],[Fraud_Attempt]]="No",0,"")))</f>
        <v>0</v>
      </c>
      <c r="N22" s="11">
        <v>5</v>
      </c>
    </row>
    <row r="23" spans="1:14" ht="22.5" customHeight="1" x14ac:dyDescent="0.25">
      <c r="A23" s="2" t="s">
        <v>9</v>
      </c>
      <c r="B23" s="2" t="s">
        <v>2</v>
      </c>
      <c r="C23" s="2" t="s">
        <v>25</v>
      </c>
      <c r="D23" s="4" t="s">
        <v>4</v>
      </c>
      <c r="E2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3" s="2" t="s">
        <v>5</v>
      </c>
      <c r="G2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45.5</v>
      </c>
      <c r="H23" s="2" t="s">
        <v>12</v>
      </c>
      <c r="I2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3" s="2" t="s">
        <v>14</v>
      </c>
      <c r="K23" s="8">
        <f>IF(Form_Responses[[#This Row],[Payment_Failure]]="Yes",1,IF(Form_Responses[[#This Row],[Payment_Failure]]="Maybe",0.5,IF(Form_Responses[[#This Row],[Payment_Failure]]="No",0,"")))</f>
        <v>1</v>
      </c>
      <c r="L23" s="2" t="s">
        <v>14</v>
      </c>
      <c r="M23" s="11">
        <f>IF(Form_Responses[[#This Row],[Fraud_Attempt]]="Yes",1,IF(Form_Responses[[#This Row],[Fraud_Attempt]]="Maybe",0.5,IF(Form_Responses[[#This Row],[Fraud_Attempt]]="No",0,"")))</f>
        <v>1</v>
      </c>
      <c r="N23" s="11">
        <v>1</v>
      </c>
    </row>
    <row r="24" spans="1:14" ht="22.5" customHeight="1" x14ac:dyDescent="0.25">
      <c r="A24" s="2" t="s">
        <v>9</v>
      </c>
      <c r="B24" s="2" t="s">
        <v>2</v>
      </c>
      <c r="C24" s="2" t="s">
        <v>10</v>
      </c>
      <c r="D24" s="4" t="s">
        <v>4</v>
      </c>
      <c r="E24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4" s="2" t="s">
        <v>11</v>
      </c>
      <c r="G2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24" s="2" t="s">
        <v>12</v>
      </c>
      <c r="I2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4" s="2" t="s">
        <v>14</v>
      </c>
      <c r="K24" s="8">
        <f>IF(Form_Responses[[#This Row],[Payment_Failure]]="Yes",1,IF(Form_Responses[[#This Row],[Payment_Failure]]="Maybe",0.5,IF(Form_Responses[[#This Row],[Payment_Failure]]="No",0,"")))</f>
        <v>1</v>
      </c>
      <c r="L24" s="2" t="s">
        <v>8</v>
      </c>
      <c r="M24" s="11">
        <f>IF(Form_Responses[[#This Row],[Fraud_Attempt]]="Yes",1,IF(Form_Responses[[#This Row],[Fraud_Attempt]]="Maybe",0.5,IF(Form_Responses[[#This Row],[Fraud_Attempt]]="No",0,"")))</f>
        <v>0</v>
      </c>
      <c r="N24" s="11">
        <v>5</v>
      </c>
    </row>
    <row r="25" spans="1:14" ht="22.5" customHeight="1" x14ac:dyDescent="0.25">
      <c r="A25" s="2" t="s">
        <v>9</v>
      </c>
      <c r="B25" s="2" t="s">
        <v>2</v>
      </c>
      <c r="C25" s="2" t="s">
        <v>10</v>
      </c>
      <c r="D25" s="4" t="s">
        <v>4</v>
      </c>
      <c r="E25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5" s="2" t="s">
        <v>22</v>
      </c>
      <c r="G2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25" s="2" t="s">
        <v>12</v>
      </c>
      <c r="I2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5" s="2" t="s">
        <v>14</v>
      </c>
      <c r="K25" s="8">
        <f>IF(Form_Responses[[#This Row],[Payment_Failure]]="Yes",1,IF(Form_Responses[[#This Row],[Payment_Failure]]="Maybe",0.5,IF(Form_Responses[[#This Row],[Payment_Failure]]="No",0,"")))</f>
        <v>1</v>
      </c>
      <c r="L25" s="2" t="s">
        <v>8</v>
      </c>
      <c r="M25" s="11">
        <f>IF(Form_Responses[[#This Row],[Fraud_Attempt]]="Yes",1,IF(Form_Responses[[#This Row],[Fraud_Attempt]]="Maybe",0.5,IF(Form_Responses[[#This Row],[Fraud_Attempt]]="No",0,"")))</f>
        <v>0</v>
      </c>
      <c r="N25" s="11">
        <v>8</v>
      </c>
    </row>
    <row r="26" spans="1:14" ht="22.5" customHeight="1" x14ac:dyDescent="0.25">
      <c r="A26" s="2" t="s">
        <v>9</v>
      </c>
      <c r="B26" s="2" t="s">
        <v>2</v>
      </c>
      <c r="C26" s="2" t="s">
        <v>25</v>
      </c>
      <c r="D26" s="4" t="s">
        <v>13</v>
      </c>
      <c r="E26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26" s="2" t="s">
        <v>11</v>
      </c>
      <c r="G2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26" s="2" t="s">
        <v>23</v>
      </c>
      <c r="I2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2501</v>
      </c>
      <c r="J26" s="2" t="s">
        <v>8</v>
      </c>
      <c r="K26" s="8">
        <f>IF(Form_Responses[[#This Row],[Payment_Failure]]="Yes",1,IF(Form_Responses[[#This Row],[Payment_Failure]]="Maybe",0.5,IF(Form_Responses[[#This Row],[Payment_Failure]]="No",0,"")))</f>
        <v>0</v>
      </c>
      <c r="L26" s="2" t="s">
        <v>8</v>
      </c>
      <c r="M26" s="11">
        <f>IF(Form_Responses[[#This Row],[Fraud_Attempt]]="Yes",1,IF(Form_Responses[[#This Row],[Fraud_Attempt]]="Maybe",0.5,IF(Form_Responses[[#This Row],[Fraud_Attempt]]="No",0,"")))</f>
        <v>0</v>
      </c>
      <c r="N26" s="11">
        <v>10</v>
      </c>
    </row>
    <row r="27" spans="1:14" ht="22.5" customHeight="1" x14ac:dyDescent="0.25">
      <c r="A27" s="2" t="s">
        <v>9</v>
      </c>
      <c r="B27" s="2" t="s">
        <v>2</v>
      </c>
      <c r="C27" s="2" t="s">
        <v>10</v>
      </c>
      <c r="D27" s="4" t="s">
        <v>13</v>
      </c>
      <c r="E2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27" s="2" t="s">
        <v>11</v>
      </c>
      <c r="G2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27" s="2" t="s">
        <v>12</v>
      </c>
      <c r="I2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7" s="2" t="s">
        <v>14</v>
      </c>
      <c r="K27" s="8">
        <f>IF(Form_Responses[[#This Row],[Payment_Failure]]="Yes",1,IF(Form_Responses[[#This Row],[Payment_Failure]]="Maybe",0.5,IF(Form_Responses[[#This Row],[Payment_Failure]]="No",0,"")))</f>
        <v>1</v>
      </c>
      <c r="L27" s="2" t="s">
        <v>8</v>
      </c>
      <c r="M27" s="11">
        <f>IF(Form_Responses[[#This Row],[Fraud_Attempt]]="Yes",1,IF(Form_Responses[[#This Row],[Fraud_Attempt]]="Maybe",0.5,IF(Form_Responses[[#This Row],[Fraud_Attempt]]="No",0,"")))</f>
        <v>0</v>
      </c>
      <c r="N27" s="11">
        <v>10</v>
      </c>
    </row>
    <row r="28" spans="1:14" ht="22.5" customHeight="1" x14ac:dyDescent="0.25">
      <c r="A28" s="2" t="s">
        <v>1</v>
      </c>
      <c r="B28" s="2" t="s">
        <v>2</v>
      </c>
      <c r="C28" s="2" t="s">
        <v>10</v>
      </c>
      <c r="D28" s="4" t="s">
        <v>13</v>
      </c>
      <c r="E28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28" s="2" t="s">
        <v>21</v>
      </c>
      <c r="G2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28" s="2" t="s">
        <v>12</v>
      </c>
      <c r="I2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8" s="2" t="s">
        <v>14</v>
      </c>
      <c r="K28" s="8">
        <f>IF(Form_Responses[[#This Row],[Payment_Failure]]="Yes",1,IF(Form_Responses[[#This Row],[Payment_Failure]]="Maybe",0.5,IF(Form_Responses[[#This Row],[Payment_Failure]]="No",0,"")))</f>
        <v>1</v>
      </c>
      <c r="L28" s="2" t="s">
        <v>8</v>
      </c>
      <c r="M28" s="11">
        <f>IF(Form_Responses[[#This Row],[Fraud_Attempt]]="Yes",1,IF(Form_Responses[[#This Row],[Fraud_Attempt]]="Maybe",0.5,IF(Form_Responses[[#This Row],[Fraud_Attempt]]="No",0,"")))</f>
        <v>0</v>
      </c>
      <c r="N28" s="11">
        <v>9</v>
      </c>
    </row>
    <row r="29" spans="1:14" ht="22.5" customHeight="1" x14ac:dyDescent="0.25">
      <c r="A29" s="2" t="s">
        <v>1</v>
      </c>
      <c r="B29" s="2" t="s">
        <v>2</v>
      </c>
      <c r="C29" s="2" t="s">
        <v>10</v>
      </c>
      <c r="D29" s="4" t="s">
        <v>4</v>
      </c>
      <c r="E29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29" s="2" t="s">
        <v>21</v>
      </c>
      <c r="G2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29" s="2" t="s">
        <v>12</v>
      </c>
      <c r="I2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29" s="2" t="s">
        <v>14</v>
      </c>
      <c r="K29" s="8">
        <f>IF(Form_Responses[[#This Row],[Payment_Failure]]="Yes",1,IF(Form_Responses[[#This Row],[Payment_Failure]]="Maybe",0.5,IF(Form_Responses[[#This Row],[Payment_Failure]]="No",0,"")))</f>
        <v>1</v>
      </c>
      <c r="L29" s="2" t="s">
        <v>8</v>
      </c>
      <c r="M29" s="11">
        <f>IF(Form_Responses[[#This Row],[Fraud_Attempt]]="Yes",1,IF(Form_Responses[[#This Row],[Fraud_Attempt]]="Maybe",0.5,IF(Form_Responses[[#This Row],[Fraud_Attempt]]="No",0,"")))</f>
        <v>0</v>
      </c>
      <c r="N29" s="11">
        <v>7</v>
      </c>
    </row>
    <row r="30" spans="1:14" ht="22.5" customHeight="1" x14ac:dyDescent="0.25">
      <c r="A30" s="2" t="s">
        <v>27</v>
      </c>
      <c r="B30" s="2" t="s">
        <v>20</v>
      </c>
      <c r="C30" s="2" t="s">
        <v>10</v>
      </c>
      <c r="D30" s="4" t="s">
        <v>16</v>
      </c>
      <c r="E30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30" s="2" t="s">
        <v>21</v>
      </c>
      <c r="G3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30" s="2" t="s">
        <v>12</v>
      </c>
      <c r="I3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30" s="2" t="s">
        <v>14</v>
      </c>
      <c r="K30" s="8">
        <f>IF(Form_Responses[[#This Row],[Payment_Failure]]="Yes",1,IF(Form_Responses[[#This Row],[Payment_Failure]]="Maybe",0.5,IF(Form_Responses[[#This Row],[Payment_Failure]]="No",0,"")))</f>
        <v>1</v>
      </c>
      <c r="L30" s="2" t="s">
        <v>8</v>
      </c>
      <c r="M30" s="11">
        <f>IF(Form_Responses[[#This Row],[Fraud_Attempt]]="Yes",1,IF(Form_Responses[[#This Row],[Fraud_Attempt]]="Maybe",0.5,IF(Form_Responses[[#This Row],[Fraud_Attempt]]="No",0,"")))</f>
        <v>0</v>
      </c>
      <c r="N30" s="11">
        <v>8</v>
      </c>
    </row>
    <row r="31" spans="1:14" ht="22.5" customHeight="1" x14ac:dyDescent="0.25">
      <c r="A31" s="2" t="s">
        <v>1</v>
      </c>
      <c r="B31" s="2" t="s">
        <v>2</v>
      </c>
      <c r="C31" s="2" t="s">
        <v>15</v>
      </c>
      <c r="D31" s="2">
        <v>0</v>
      </c>
      <c r="E31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0</v>
      </c>
      <c r="F31" s="2" t="s">
        <v>11</v>
      </c>
      <c r="G3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1" s="2" t="s">
        <v>17</v>
      </c>
      <c r="I3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31" s="2" t="s">
        <v>7</v>
      </c>
      <c r="K31" s="8">
        <f>IF(Form_Responses[[#This Row],[Payment_Failure]]="Yes",1,IF(Form_Responses[[#This Row],[Payment_Failure]]="Maybe",0.5,IF(Form_Responses[[#This Row],[Payment_Failure]]="No",0,"")))</f>
        <v>0.5</v>
      </c>
      <c r="L31" s="2" t="s">
        <v>8</v>
      </c>
      <c r="M31" s="11">
        <f>IF(Form_Responses[[#This Row],[Fraud_Attempt]]="Yes",1,IF(Form_Responses[[#This Row],[Fraud_Attempt]]="Maybe",0.5,IF(Form_Responses[[#This Row],[Fraud_Attempt]]="No",0,"")))</f>
        <v>0</v>
      </c>
      <c r="N31" s="11">
        <v>10</v>
      </c>
    </row>
    <row r="32" spans="1:14" ht="22.5" customHeight="1" x14ac:dyDescent="0.25">
      <c r="A32" s="2" t="s">
        <v>1</v>
      </c>
      <c r="B32" s="2" t="s">
        <v>2</v>
      </c>
      <c r="C32" s="2" t="s">
        <v>10</v>
      </c>
      <c r="D32" s="4" t="s">
        <v>4</v>
      </c>
      <c r="E32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32" s="2" t="s">
        <v>21</v>
      </c>
      <c r="G3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32" s="2" t="s">
        <v>24</v>
      </c>
      <c r="I3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32" s="2" t="s">
        <v>14</v>
      </c>
      <c r="K32" s="8">
        <f>IF(Form_Responses[[#This Row],[Payment_Failure]]="Yes",1,IF(Form_Responses[[#This Row],[Payment_Failure]]="Maybe",0.5,IF(Form_Responses[[#This Row],[Payment_Failure]]="No",0,"")))</f>
        <v>1</v>
      </c>
      <c r="L32" s="2" t="s">
        <v>8</v>
      </c>
      <c r="M32" s="11">
        <f>IF(Form_Responses[[#This Row],[Fraud_Attempt]]="Yes",1,IF(Form_Responses[[#This Row],[Fraud_Attempt]]="Maybe",0.5,IF(Form_Responses[[#This Row],[Fraud_Attempt]]="No",0,"")))</f>
        <v>0</v>
      </c>
      <c r="N32" s="11">
        <v>10</v>
      </c>
    </row>
    <row r="33" spans="1:14" ht="22.5" customHeight="1" x14ac:dyDescent="0.25">
      <c r="A33" s="2" t="s">
        <v>9</v>
      </c>
      <c r="B33" s="2" t="s">
        <v>2</v>
      </c>
      <c r="C33" s="2" t="s">
        <v>10</v>
      </c>
      <c r="D33" s="4" t="s">
        <v>13</v>
      </c>
      <c r="E3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33" s="2" t="s">
        <v>11</v>
      </c>
      <c r="G3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3" s="2" t="s">
        <v>12</v>
      </c>
      <c r="I3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33" s="2" t="s">
        <v>8</v>
      </c>
      <c r="K33" s="8">
        <f>IF(Form_Responses[[#This Row],[Payment_Failure]]="Yes",1,IF(Form_Responses[[#This Row],[Payment_Failure]]="Maybe",0.5,IF(Form_Responses[[#This Row],[Payment_Failure]]="No",0,"")))</f>
        <v>0</v>
      </c>
      <c r="L33" s="2" t="s">
        <v>8</v>
      </c>
      <c r="M33" s="11">
        <f>IF(Form_Responses[[#This Row],[Fraud_Attempt]]="Yes",1,IF(Form_Responses[[#This Row],[Fraud_Attempt]]="Maybe",0.5,IF(Form_Responses[[#This Row],[Fraud_Attempt]]="No",0,"")))</f>
        <v>0</v>
      </c>
      <c r="N33" s="11">
        <v>9</v>
      </c>
    </row>
    <row r="34" spans="1:14" ht="22.5" customHeight="1" x14ac:dyDescent="0.25">
      <c r="A34" s="2" t="s">
        <v>1</v>
      </c>
      <c r="B34" s="2" t="s">
        <v>2</v>
      </c>
      <c r="C34" s="2" t="s">
        <v>25</v>
      </c>
      <c r="D34" s="4" t="s">
        <v>13</v>
      </c>
      <c r="E34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34" s="2" t="s">
        <v>21</v>
      </c>
      <c r="G3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34" s="2" t="s">
        <v>24</v>
      </c>
      <c r="I3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34" s="2" t="s">
        <v>14</v>
      </c>
      <c r="K34" s="8">
        <f>IF(Form_Responses[[#This Row],[Payment_Failure]]="Yes",1,IF(Form_Responses[[#This Row],[Payment_Failure]]="Maybe",0.5,IF(Form_Responses[[#This Row],[Payment_Failure]]="No",0,"")))</f>
        <v>1</v>
      </c>
      <c r="L34" s="2" t="s">
        <v>14</v>
      </c>
      <c r="M34" s="11">
        <f>IF(Form_Responses[[#This Row],[Fraud_Attempt]]="Yes",1,IF(Form_Responses[[#This Row],[Fraud_Attempt]]="Maybe",0.5,IF(Form_Responses[[#This Row],[Fraud_Attempt]]="No",0,"")))</f>
        <v>1</v>
      </c>
      <c r="N34" s="11">
        <v>6</v>
      </c>
    </row>
    <row r="35" spans="1:14" ht="22.5" customHeight="1" x14ac:dyDescent="0.25">
      <c r="A35" s="2" t="s">
        <v>1</v>
      </c>
      <c r="B35" s="2" t="s">
        <v>2</v>
      </c>
      <c r="C35" s="2" t="s">
        <v>10</v>
      </c>
      <c r="D35" s="2" t="s">
        <v>43</v>
      </c>
      <c r="E35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35" s="2" t="s">
        <v>11</v>
      </c>
      <c r="G3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5" s="2" t="s">
        <v>12</v>
      </c>
      <c r="I3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35" s="2" t="s">
        <v>14</v>
      </c>
      <c r="K35" s="8">
        <f>IF(Form_Responses[[#This Row],[Payment_Failure]]="Yes",1,IF(Form_Responses[[#This Row],[Payment_Failure]]="Maybe",0.5,IF(Form_Responses[[#This Row],[Payment_Failure]]="No",0,"")))</f>
        <v>1</v>
      </c>
      <c r="L35" s="2" t="s">
        <v>8</v>
      </c>
      <c r="M35" s="11">
        <f>IF(Form_Responses[[#This Row],[Fraud_Attempt]]="Yes",1,IF(Form_Responses[[#This Row],[Fraud_Attempt]]="Maybe",0.5,IF(Form_Responses[[#This Row],[Fraud_Attempt]]="No",0,"")))</f>
        <v>0</v>
      </c>
      <c r="N35" s="11">
        <v>7</v>
      </c>
    </row>
    <row r="36" spans="1:14" ht="22.5" customHeight="1" x14ac:dyDescent="0.25">
      <c r="A36" s="2" t="s">
        <v>9</v>
      </c>
      <c r="B36" s="2" t="s">
        <v>2</v>
      </c>
      <c r="C36" s="2" t="s">
        <v>10</v>
      </c>
      <c r="D36" s="4" t="s">
        <v>16</v>
      </c>
      <c r="E36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36" s="2" t="s">
        <v>21</v>
      </c>
      <c r="G3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36" s="2" t="s">
        <v>17</v>
      </c>
      <c r="I3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36" s="2" t="s">
        <v>8</v>
      </c>
      <c r="K36" s="8">
        <f>IF(Form_Responses[[#This Row],[Payment_Failure]]="Yes",1,IF(Form_Responses[[#This Row],[Payment_Failure]]="Maybe",0.5,IF(Form_Responses[[#This Row],[Payment_Failure]]="No",0,"")))</f>
        <v>0</v>
      </c>
      <c r="L36" s="2" t="s">
        <v>7</v>
      </c>
      <c r="M36" s="11">
        <f>IF(Form_Responses[[#This Row],[Fraud_Attempt]]="Yes",1,IF(Form_Responses[[#This Row],[Fraud_Attempt]]="Maybe",0.5,IF(Form_Responses[[#This Row],[Fraud_Attempt]]="No",0,"")))</f>
        <v>0.5</v>
      </c>
      <c r="N36" s="11">
        <v>2</v>
      </c>
    </row>
    <row r="37" spans="1:14" ht="22.5" customHeight="1" x14ac:dyDescent="0.25">
      <c r="A37" s="2" t="s">
        <v>9</v>
      </c>
      <c r="B37" s="2" t="s">
        <v>2</v>
      </c>
      <c r="C37" s="2" t="s">
        <v>15</v>
      </c>
      <c r="D37" s="4" t="s">
        <v>16</v>
      </c>
      <c r="E3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37" s="2" t="s">
        <v>11</v>
      </c>
      <c r="G3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7" s="2" t="s">
        <v>17</v>
      </c>
      <c r="I3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37" s="2" t="s">
        <v>7</v>
      </c>
      <c r="K37" s="8">
        <f>IF(Form_Responses[[#This Row],[Payment_Failure]]="Yes",1,IF(Form_Responses[[#This Row],[Payment_Failure]]="Maybe",0.5,IF(Form_Responses[[#This Row],[Payment_Failure]]="No",0,"")))</f>
        <v>0.5</v>
      </c>
      <c r="L37" s="2" t="s">
        <v>8</v>
      </c>
      <c r="M37" s="11">
        <f>IF(Form_Responses[[#This Row],[Fraud_Attempt]]="Yes",1,IF(Form_Responses[[#This Row],[Fraud_Attempt]]="Maybe",0.5,IF(Form_Responses[[#This Row],[Fraud_Attempt]]="No",0,"")))</f>
        <v>0</v>
      </c>
      <c r="N37" s="11">
        <v>10</v>
      </c>
    </row>
    <row r="38" spans="1:14" ht="22.5" customHeight="1" x14ac:dyDescent="0.25">
      <c r="A38" s="2" t="s">
        <v>9</v>
      </c>
      <c r="B38" s="2" t="s">
        <v>2</v>
      </c>
      <c r="C38" s="2" t="s">
        <v>26</v>
      </c>
      <c r="D38" s="2">
        <v>0</v>
      </c>
      <c r="E38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0</v>
      </c>
      <c r="F38" s="2" t="s">
        <v>11</v>
      </c>
      <c r="G3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8" s="2" t="s">
        <v>12</v>
      </c>
      <c r="I3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38" s="2" t="s">
        <v>8</v>
      </c>
      <c r="K38" s="8">
        <f>IF(Form_Responses[[#This Row],[Payment_Failure]]="Yes",1,IF(Form_Responses[[#This Row],[Payment_Failure]]="Maybe",0.5,IF(Form_Responses[[#This Row],[Payment_Failure]]="No",0,"")))</f>
        <v>0</v>
      </c>
      <c r="L38" s="2" t="s">
        <v>8</v>
      </c>
      <c r="M38" s="11">
        <f>IF(Form_Responses[[#This Row],[Fraud_Attempt]]="Yes",1,IF(Form_Responses[[#This Row],[Fraud_Attempt]]="Maybe",0.5,IF(Form_Responses[[#This Row],[Fraud_Attempt]]="No",0,"")))</f>
        <v>0</v>
      </c>
      <c r="N38" s="11">
        <v>6</v>
      </c>
    </row>
    <row r="39" spans="1:14" ht="22.5" customHeight="1" x14ac:dyDescent="0.25">
      <c r="A39" s="2" t="s">
        <v>9</v>
      </c>
      <c r="B39" s="2" t="s">
        <v>2</v>
      </c>
      <c r="C39" s="2" t="s">
        <v>10</v>
      </c>
      <c r="D39" s="2">
        <v>0</v>
      </c>
      <c r="E39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0</v>
      </c>
      <c r="F39" s="2" t="s">
        <v>11</v>
      </c>
      <c r="G3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39" s="2" t="s">
        <v>17</v>
      </c>
      <c r="I3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39" s="2" t="s">
        <v>14</v>
      </c>
      <c r="K39" s="8">
        <f>IF(Form_Responses[[#This Row],[Payment_Failure]]="Yes",1,IF(Form_Responses[[#This Row],[Payment_Failure]]="Maybe",0.5,IF(Form_Responses[[#This Row],[Payment_Failure]]="No",0,"")))</f>
        <v>1</v>
      </c>
      <c r="L39" s="2" t="s">
        <v>8</v>
      </c>
      <c r="M39" s="11">
        <f>IF(Form_Responses[[#This Row],[Fraud_Attempt]]="Yes",1,IF(Form_Responses[[#This Row],[Fraud_Attempt]]="Maybe",0.5,IF(Form_Responses[[#This Row],[Fraud_Attempt]]="No",0,"")))</f>
        <v>0</v>
      </c>
      <c r="N39" s="11">
        <v>7</v>
      </c>
    </row>
    <row r="40" spans="1:14" ht="22.5" customHeight="1" x14ac:dyDescent="0.25">
      <c r="A40" s="2" t="s">
        <v>27</v>
      </c>
      <c r="B40" s="2" t="s">
        <v>20</v>
      </c>
      <c r="C40" s="2" t="s">
        <v>10</v>
      </c>
      <c r="D40" s="4" t="s">
        <v>4</v>
      </c>
      <c r="E40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40" s="2" t="s">
        <v>22</v>
      </c>
      <c r="G4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40" s="2" t="s">
        <v>24</v>
      </c>
      <c r="I4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40" s="2" t="s">
        <v>14</v>
      </c>
      <c r="K40" s="8">
        <f>IF(Form_Responses[[#This Row],[Payment_Failure]]="Yes",1,IF(Form_Responses[[#This Row],[Payment_Failure]]="Maybe",0.5,IF(Form_Responses[[#This Row],[Payment_Failure]]="No",0,"")))</f>
        <v>1</v>
      </c>
      <c r="L40" s="2" t="s">
        <v>14</v>
      </c>
      <c r="M40" s="11">
        <f>IF(Form_Responses[[#This Row],[Fraud_Attempt]]="Yes",1,IF(Form_Responses[[#This Row],[Fraud_Attempt]]="Maybe",0.5,IF(Form_Responses[[#This Row],[Fraud_Attempt]]="No",0,"")))</f>
        <v>1</v>
      </c>
      <c r="N40" s="11">
        <v>8</v>
      </c>
    </row>
    <row r="41" spans="1:14" ht="22.5" customHeight="1" x14ac:dyDescent="0.25">
      <c r="A41" s="2" t="s">
        <v>1</v>
      </c>
      <c r="B41" s="2" t="s">
        <v>2</v>
      </c>
      <c r="C41" s="2" t="s">
        <v>10</v>
      </c>
      <c r="D41" s="4" t="s">
        <v>4</v>
      </c>
      <c r="E41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41" s="2" t="s">
        <v>11</v>
      </c>
      <c r="G4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1" s="2" t="s">
        <v>12</v>
      </c>
      <c r="I4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1" s="2" t="s">
        <v>14</v>
      </c>
      <c r="K41" s="8">
        <f>IF(Form_Responses[[#This Row],[Payment_Failure]]="Yes",1,IF(Form_Responses[[#This Row],[Payment_Failure]]="Maybe",0.5,IF(Form_Responses[[#This Row],[Payment_Failure]]="No",0,"")))</f>
        <v>1</v>
      </c>
      <c r="L41" s="2" t="s">
        <v>8</v>
      </c>
      <c r="M41" s="11">
        <f>IF(Form_Responses[[#This Row],[Fraud_Attempt]]="Yes",1,IF(Form_Responses[[#This Row],[Fraud_Attempt]]="Maybe",0.5,IF(Form_Responses[[#This Row],[Fraud_Attempt]]="No",0,"")))</f>
        <v>0</v>
      </c>
      <c r="N41" s="11">
        <v>5</v>
      </c>
    </row>
    <row r="42" spans="1:14" ht="22.5" customHeight="1" x14ac:dyDescent="0.25">
      <c r="A42" s="2" t="s">
        <v>9</v>
      </c>
      <c r="B42" s="2" t="s">
        <v>2</v>
      </c>
      <c r="C42" s="2" t="s">
        <v>10</v>
      </c>
      <c r="D42" s="4" t="s">
        <v>13</v>
      </c>
      <c r="E42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2" s="2" t="s">
        <v>11</v>
      </c>
      <c r="G4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2" s="2" t="s">
        <v>12</v>
      </c>
      <c r="I4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2" s="2" t="s">
        <v>14</v>
      </c>
      <c r="K42" s="8">
        <f>IF(Form_Responses[[#This Row],[Payment_Failure]]="Yes",1,IF(Form_Responses[[#This Row],[Payment_Failure]]="Maybe",0.5,IF(Form_Responses[[#This Row],[Payment_Failure]]="No",0,"")))</f>
        <v>1</v>
      </c>
      <c r="L42" s="2" t="s">
        <v>8</v>
      </c>
      <c r="M42" s="11">
        <f>IF(Form_Responses[[#This Row],[Fraud_Attempt]]="Yes",1,IF(Form_Responses[[#This Row],[Fraud_Attempt]]="Maybe",0.5,IF(Form_Responses[[#This Row],[Fraud_Attempt]]="No",0,"")))</f>
        <v>0</v>
      </c>
      <c r="N42" s="11">
        <v>9</v>
      </c>
    </row>
    <row r="43" spans="1:14" ht="22.5" customHeight="1" x14ac:dyDescent="0.25">
      <c r="A43" s="2" t="s">
        <v>9</v>
      </c>
      <c r="B43" s="2" t="s">
        <v>2</v>
      </c>
      <c r="C43" s="2" t="s">
        <v>10</v>
      </c>
      <c r="D43" s="4" t="s">
        <v>4</v>
      </c>
      <c r="E4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43" s="2" t="s">
        <v>18</v>
      </c>
      <c r="G4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61</v>
      </c>
      <c r="H43" s="2" t="s">
        <v>12</v>
      </c>
      <c r="I4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3" s="2" t="s">
        <v>14</v>
      </c>
      <c r="K43" s="8">
        <f>IF(Form_Responses[[#This Row],[Payment_Failure]]="Yes",1,IF(Form_Responses[[#This Row],[Payment_Failure]]="Maybe",0.5,IF(Form_Responses[[#This Row],[Payment_Failure]]="No",0,"")))</f>
        <v>1</v>
      </c>
      <c r="L43" s="2" t="s">
        <v>8</v>
      </c>
      <c r="M43" s="11">
        <f>IF(Form_Responses[[#This Row],[Fraud_Attempt]]="Yes",1,IF(Form_Responses[[#This Row],[Fraud_Attempt]]="Maybe",0.5,IF(Form_Responses[[#This Row],[Fraud_Attempt]]="No",0,"")))</f>
        <v>0</v>
      </c>
      <c r="N43" s="11">
        <v>8</v>
      </c>
    </row>
    <row r="44" spans="1:14" ht="22.5" customHeight="1" x14ac:dyDescent="0.25">
      <c r="A44" s="2" t="s">
        <v>9</v>
      </c>
      <c r="B44" s="2" t="s">
        <v>2</v>
      </c>
      <c r="C44" s="2" t="s">
        <v>28</v>
      </c>
      <c r="D44" s="4" t="s">
        <v>13</v>
      </c>
      <c r="E44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4" s="2" t="s">
        <v>21</v>
      </c>
      <c r="G4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44" s="2" t="s">
        <v>24</v>
      </c>
      <c r="I4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44" s="2" t="s">
        <v>14</v>
      </c>
      <c r="K44" s="8">
        <f>IF(Form_Responses[[#This Row],[Payment_Failure]]="Yes",1,IF(Form_Responses[[#This Row],[Payment_Failure]]="Maybe",0.5,IF(Form_Responses[[#This Row],[Payment_Failure]]="No",0,"")))</f>
        <v>1</v>
      </c>
      <c r="L44" s="2" t="s">
        <v>8</v>
      </c>
      <c r="M44" s="11">
        <f>IF(Form_Responses[[#This Row],[Fraud_Attempt]]="Yes",1,IF(Form_Responses[[#This Row],[Fraud_Attempt]]="Maybe",0.5,IF(Form_Responses[[#This Row],[Fraud_Attempt]]="No",0,"")))</f>
        <v>0</v>
      </c>
      <c r="N44" s="11">
        <v>8</v>
      </c>
    </row>
    <row r="45" spans="1:14" ht="22.5" customHeight="1" x14ac:dyDescent="0.25">
      <c r="A45" s="2" t="s">
        <v>1</v>
      </c>
      <c r="B45" s="2" t="s">
        <v>2</v>
      </c>
      <c r="C45" s="2" t="s">
        <v>10</v>
      </c>
      <c r="D45" s="4" t="s">
        <v>4</v>
      </c>
      <c r="E45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45" s="2" t="s">
        <v>21</v>
      </c>
      <c r="G4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45" s="2" t="s">
        <v>12</v>
      </c>
      <c r="I4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5" s="2" t="s">
        <v>14</v>
      </c>
      <c r="K45" s="8">
        <f>IF(Form_Responses[[#This Row],[Payment_Failure]]="Yes",1,IF(Form_Responses[[#This Row],[Payment_Failure]]="Maybe",0.5,IF(Form_Responses[[#This Row],[Payment_Failure]]="No",0,"")))</f>
        <v>1</v>
      </c>
      <c r="L45" s="2" t="s">
        <v>8</v>
      </c>
      <c r="M45" s="11">
        <f>IF(Form_Responses[[#This Row],[Fraud_Attempt]]="Yes",1,IF(Form_Responses[[#This Row],[Fraud_Attempt]]="Maybe",0.5,IF(Form_Responses[[#This Row],[Fraud_Attempt]]="No",0,"")))</f>
        <v>0</v>
      </c>
      <c r="N45" s="11">
        <v>8</v>
      </c>
    </row>
    <row r="46" spans="1:14" ht="22.5" customHeight="1" x14ac:dyDescent="0.25">
      <c r="A46" s="2" t="s">
        <v>9</v>
      </c>
      <c r="B46" s="2" t="s">
        <v>2</v>
      </c>
      <c r="C46" s="2" t="s">
        <v>15</v>
      </c>
      <c r="D46" s="4" t="s">
        <v>13</v>
      </c>
      <c r="E46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6" s="2" t="s">
        <v>11</v>
      </c>
      <c r="G4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6" s="2" t="s">
        <v>12</v>
      </c>
      <c r="I4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46" s="2" t="s">
        <v>14</v>
      </c>
      <c r="K46" s="8">
        <f>IF(Form_Responses[[#This Row],[Payment_Failure]]="Yes",1,IF(Form_Responses[[#This Row],[Payment_Failure]]="Maybe",0.5,IF(Form_Responses[[#This Row],[Payment_Failure]]="No",0,"")))</f>
        <v>1</v>
      </c>
      <c r="L46" s="2" t="s">
        <v>8</v>
      </c>
      <c r="M46" s="11">
        <f>IF(Form_Responses[[#This Row],[Fraud_Attempt]]="Yes",1,IF(Form_Responses[[#This Row],[Fraud_Attempt]]="Maybe",0.5,IF(Form_Responses[[#This Row],[Fraud_Attempt]]="No",0,"")))</f>
        <v>0</v>
      </c>
      <c r="N46" s="11">
        <v>5</v>
      </c>
    </row>
    <row r="47" spans="1:14" ht="22.5" customHeight="1" x14ac:dyDescent="0.25">
      <c r="A47" s="2" t="s">
        <v>1</v>
      </c>
      <c r="B47" s="2" t="s">
        <v>2</v>
      </c>
      <c r="C47" s="2" t="s">
        <v>10</v>
      </c>
      <c r="D47" s="4" t="s">
        <v>13</v>
      </c>
      <c r="E4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7" s="2" t="s">
        <v>11</v>
      </c>
      <c r="G4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7" s="2" t="s">
        <v>17</v>
      </c>
      <c r="I4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47" s="2" t="s">
        <v>14</v>
      </c>
      <c r="K47" s="8">
        <f>IF(Form_Responses[[#This Row],[Payment_Failure]]="Yes",1,IF(Form_Responses[[#This Row],[Payment_Failure]]="Maybe",0.5,IF(Form_Responses[[#This Row],[Payment_Failure]]="No",0,"")))</f>
        <v>1</v>
      </c>
      <c r="L47" s="2" t="s">
        <v>8</v>
      </c>
      <c r="M47" s="11">
        <f>IF(Form_Responses[[#This Row],[Fraud_Attempt]]="Yes",1,IF(Form_Responses[[#This Row],[Fraud_Attempt]]="Maybe",0.5,IF(Form_Responses[[#This Row],[Fraud_Attempt]]="No",0,"")))</f>
        <v>0</v>
      </c>
      <c r="N47" s="11">
        <v>8</v>
      </c>
    </row>
    <row r="48" spans="1:14" ht="22.5" customHeight="1" x14ac:dyDescent="0.25">
      <c r="A48" s="2" t="s">
        <v>9</v>
      </c>
      <c r="B48" s="2" t="s">
        <v>2</v>
      </c>
      <c r="C48" s="2" t="s">
        <v>15</v>
      </c>
      <c r="D48" s="4" t="s">
        <v>16</v>
      </c>
      <c r="E48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1.5</v>
      </c>
      <c r="F48" s="2" t="s">
        <v>11</v>
      </c>
      <c r="G4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8" s="2" t="s">
        <v>17</v>
      </c>
      <c r="I4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48" s="2" t="s">
        <v>14</v>
      </c>
      <c r="K48" s="8">
        <f>IF(Form_Responses[[#This Row],[Payment_Failure]]="Yes",1,IF(Form_Responses[[#This Row],[Payment_Failure]]="Maybe",0.5,IF(Form_Responses[[#This Row],[Payment_Failure]]="No",0,"")))</f>
        <v>1</v>
      </c>
      <c r="L48" s="2" t="s">
        <v>8</v>
      </c>
      <c r="M48" s="11">
        <f>IF(Form_Responses[[#This Row],[Fraud_Attempt]]="Yes",1,IF(Form_Responses[[#This Row],[Fraud_Attempt]]="Maybe",0.5,IF(Form_Responses[[#This Row],[Fraud_Attempt]]="No",0,"")))</f>
        <v>0</v>
      </c>
      <c r="N48" s="11">
        <v>4</v>
      </c>
    </row>
    <row r="49" spans="1:14" ht="22.5" customHeight="1" x14ac:dyDescent="0.25">
      <c r="A49" s="2" t="s">
        <v>19</v>
      </c>
      <c r="B49" s="2" t="s">
        <v>20</v>
      </c>
      <c r="C49" s="2" t="s">
        <v>25</v>
      </c>
      <c r="D49" s="4" t="s">
        <v>13</v>
      </c>
      <c r="E49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49" s="2" t="s">
        <v>11</v>
      </c>
      <c r="G4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49" s="2" t="s">
        <v>24</v>
      </c>
      <c r="I4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49" s="2" t="s">
        <v>8</v>
      </c>
      <c r="K49" s="8">
        <f>IF(Form_Responses[[#This Row],[Payment_Failure]]="Yes",1,IF(Form_Responses[[#This Row],[Payment_Failure]]="Maybe",0.5,IF(Form_Responses[[#This Row],[Payment_Failure]]="No",0,"")))</f>
        <v>0</v>
      </c>
      <c r="L49" s="2" t="s">
        <v>8</v>
      </c>
      <c r="M49" s="11">
        <f>IF(Form_Responses[[#This Row],[Fraud_Attempt]]="Yes",1,IF(Form_Responses[[#This Row],[Fraud_Attempt]]="Maybe",0.5,IF(Form_Responses[[#This Row],[Fraud_Attempt]]="No",0,"")))</f>
        <v>0</v>
      </c>
      <c r="N49" s="11">
        <v>10</v>
      </c>
    </row>
    <row r="50" spans="1:14" ht="22.5" customHeight="1" x14ac:dyDescent="0.25">
      <c r="A50" s="2" t="s">
        <v>9</v>
      </c>
      <c r="B50" s="2" t="s">
        <v>2</v>
      </c>
      <c r="C50" s="2" t="s">
        <v>10</v>
      </c>
      <c r="D50" s="2" t="s">
        <v>43</v>
      </c>
      <c r="E50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50" s="2" t="s">
        <v>21</v>
      </c>
      <c r="G5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50" s="2" t="s">
        <v>12</v>
      </c>
      <c r="I5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0" s="2" t="s">
        <v>14</v>
      </c>
      <c r="K50" s="8">
        <f>IF(Form_Responses[[#This Row],[Payment_Failure]]="Yes",1,IF(Form_Responses[[#This Row],[Payment_Failure]]="Maybe",0.5,IF(Form_Responses[[#This Row],[Payment_Failure]]="No",0,"")))</f>
        <v>1</v>
      </c>
      <c r="L50" s="2" t="s">
        <v>8</v>
      </c>
      <c r="M50" s="11">
        <f>IF(Form_Responses[[#This Row],[Fraud_Attempt]]="Yes",1,IF(Form_Responses[[#This Row],[Fraud_Attempt]]="Maybe",0.5,IF(Form_Responses[[#This Row],[Fraud_Attempt]]="No",0,"")))</f>
        <v>0</v>
      </c>
      <c r="N50" s="11">
        <v>9</v>
      </c>
    </row>
    <row r="51" spans="1:14" ht="22.5" customHeight="1" x14ac:dyDescent="0.25">
      <c r="A51" s="2" t="s">
        <v>1</v>
      </c>
      <c r="B51" s="2" t="s">
        <v>29</v>
      </c>
      <c r="C51" s="2" t="s">
        <v>10</v>
      </c>
      <c r="D51" s="4" t="s">
        <v>13</v>
      </c>
      <c r="E51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51" s="2" t="s">
        <v>22</v>
      </c>
      <c r="G5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23</v>
      </c>
      <c r="H51" s="2" t="s">
        <v>12</v>
      </c>
      <c r="I5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1" s="2" t="s">
        <v>14</v>
      </c>
      <c r="K51" s="8">
        <f>IF(Form_Responses[[#This Row],[Payment_Failure]]="Yes",1,IF(Form_Responses[[#This Row],[Payment_Failure]]="Maybe",0.5,IF(Form_Responses[[#This Row],[Payment_Failure]]="No",0,"")))</f>
        <v>1</v>
      </c>
      <c r="L51" s="2" t="s">
        <v>8</v>
      </c>
      <c r="M51" s="11">
        <f>IF(Form_Responses[[#This Row],[Fraud_Attempt]]="Yes",1,IF(Form_Responses[[#This Row],[Fraud_Attempt]]="Maybe",0.5,IF(Form_Responses[[#This Row],[Fraud_Attempt]]="No",0,"")))</f>
        <v>0</v>
      </c>
      <c r="N51" s="11">
        <v>7</v>
      </c>
    </row>
    <row r="52" spans="1:14" ht="22.5" customHeight="1" x14ac:dyDescent="0.25">
      <c r="A52" s="2" t="s">
        <v>27</v>
      </c>
      <c r="B52" s="2" t="s">
        <v>20</v>
      </c>
      <c r="C52" s="2" t="s">
        <v>15</v>
      </c>
      <c r="D52" s="2" t="s">
        <v>43</v>
      </c>
      <c r="E52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52" s="2" t="s">
        <v>21</v>
      </c>
      <c r="G5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10.5</v>
      </c>
      <c r="H52" s="2" t="s">
        <v>12</v>
      </c>
      <c r="I5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2" s="2" t="s">
        <v>14</v>
      </c>
      <c r="K52" s="8">
        <f>IF(Form_Responses[[#This Row],[Payment_Failure]]="Yes",1,IF(Form_Responses[[#This Row],[Payment_Failure]]="Maybe",0.5,IF(Form_Responses[[#This Row],[Payment_Failure]]="No",0,"")))</f>
        <v>1</v>
      </c>
      <c r="L52" s="2" t="s">
        <v>8</v>
      </c>
      <c r="M52" s="11">
        <f>IF(Form_Responses[[#This Row],[Fraud_Attempt]]="Yes",1,IF(Form_Responses[[#This Row],[Fraud_Attempt]]="Maybe",0.5,IF(Form_Responses[[#This Row],[Fraud_Attempt]]="No",0,"")))</f>
        <v>0</v>
      </c>
      <c r="N52" s="11">
        <v>8</v>
      </c>
    </row>
    <row r="53" spans="1:14" ht="22.5" customHeight="1" x14ac:dyDescent="0.25">
      <c r="A53" s="2" t="s">
        <v>9</v>
      </c>
      <c r="B53" s="2" t="s">
        <v>2</v>
      </c>
      <c r="C53" s="2" t="s">
        <v>10</v>
      </c>
      <c r="D53" s="4" t="s">
        <v>13</v>
      </c>
      <c r="E53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53" s="2" t="s">
        <v>18</v>
      </c>
      <c r="G53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61</v>
      </c>
      <c r="H53" s="2" t="s">
        <v>12</v>
      </c>
      <c r="I53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3" s="2" t="s">
        <v>14</v>
      </c>
      <c r="K53" s="8">
        <f>IF(Form_Responses[[#This Row],[Payment_Failure]]="Yes",1,IF(Form_Responses[[#This Row],[Payment_Failure]]="Maybe",0.5,IF(Form_Responses[[#This Row],[Payment_Failure]]="No",0,"")))</f>
        <v>1</v>
      </c>
      <c r="L53" s="2" t="s">
        <v>14</v>
      </c>
      <c r="M53" s="11">
        <f>IF(Form_Responses[[#This Row],[Fraud_Attempt]]="Yes",1,IF(Form_Responses[[#This Row],[Fraud_Attempt]]="Maybe",0.5,IF(Form_Responses[[#This Row],[Fraud_Attempt]]="No",0,"")))</f>
        <v>1</v>
      </c>
      <c r="N53" s="11">
        <v>6</v>
      </c>
    </row>
    <row r="54" spans="1:14" ht="22.5" customHeight="1" x14ac:dyDescent="0.25">
      <c r="A54" s="2" t="s">
        <v>1</v>
      </c>
      <c r="B54" s="2" t="s">
        <v>2</v>
      </c>
      <c r="C54" s="2" t="s">
        <v>10</v>
      </c>
      <c r="D54" s="2" t="s">
        <v>43</v>
      </c>
      <c r="E54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54" s="2" t="s">
        <v>11</v>
      </c>
      <c r="G54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4" s="2" t="s">
        <v>12</v>
      </c>
      <c r="I54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4" s="2" t="s">
        <v>8</v>
      </c>
      <c r="K54" s="8">
        <f>IF(Form_Responses[[#This Row],[Payment_Failure]]="Yes",1,IF(Form_Responses[[#This Row],[Payment_Failure]]="Maybe",0.5,IF(Form_Responses[[#This Row],[Payment_Failure]]="No",0,"")))</f>
        <v>0</v>
      </c>
      <c r="L54" s="2" t="s">
        <v>8</v>
      </c>
      <c r="M54" s="11">
        <f>IF(Form_Responses[[#This Row],[Fraud_Attempt]]="Yes",1,IF(Form_Responses[[#This Row],[Fraud_Attempt]]="Maybe",0.5,IF(Form_Responses[[#This Row],[Fraud_Attempt]]="No",0,"")))</f>
        <v>0</v>
      </c>
      <c r="N54" s="11">
        <v>8</v>
      </c>
    </row>
    <row r="55" spans="1:14" ht="22.5" customHeight="1" x14ac:dyDescent="0.25">
      <c r="A55" s="2" t="s">
        <v>9</v>
      </c>
      <c r="B55" s="2" t="s">
        <v>2</v>
      </c>
      <c r="C55" s="2" t="s">
        <v>10</v>
      </c>
      <c r="D55" s="4" t="s">
        <v>13</v>
      </c>
      <c r="E55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55" s="2" t="s">
        <v>11</v>
      </c>
      <c r="G55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5" s="2" t="s">
        <v>12</v>
      </c>
      <c r="I55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5" s="2" t="s">
        <v>8</v>
      </c>
      <c r="K55" s="8">
        <f>IF(Form_Responses[[#This Row],[Payment_Failure]]="Yes",1,IF(Form_Responses[[#This Row],[Payment_Failure]]="Maybe",0.5,IF(Form_Responses[[#This Row],[Payment_Failure]]="No",0,"")))</f>
        <v>0</v>
      </c>
      <c r="L55" s="2" t="s">
        <v>8</v>
      </c>
      <c r="M55" s="11">
        <f>IF(Form_Responses[[#This Row],[Fraud_Attempt]]="Yes",1,IF(Form_Responses[[#This Row],[Fraud_Attempt]]="Maybe",0.5,IF(Form_Responses[[#This Row],[Fraud_Attempt]]="No",0,"")))</f>
        <v>0</v>
      </c>
      <c r="N55" s="11">
        <v>9</v>
      </c>
    </row>
    <row r="56" spans="1:14" ht="22.5" customHeight="1" x14ac:dyDescent="0.25">
      <c r="A56" s="2" t="s">
        <v>1</v>
      </c>
      <c r="B56" s="2" t="s">
        <v>2</v>
      </c>
      <c r="C56" s="2" t="s">
        <v>10</v>
      </c>
      <c r="D56" s="2" t="s">
        <v>43</v>
      </c>
      <c r="E56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56" s="2" t="s">
        <v>18</v>
      </c>
      <c r="G56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61</v>
      </c>
      <c r="H56" s="2" t="s">
        <v>23</v>
      </c>
      <c r="I56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2501</v>
      </c>
      <c r="J56" s="2" t="s">
        <v>14</v>
      </c>
      <c r="K56" s="8">
        <f>IF(Form_Responses[[#This Row],[Payment_Failure]]="Yes",1,IF(Form_Responses[[#This Row],[Payment_Failure]]="Maybe",0.5,IF(Form_Responses[[#This Row],[Payment_Failure]]="No",0,"")))</f>
        <v>1</v>
      </c>
      <c r="L56" s="2" t="s">
        <v>8</v>
      </c>
      <c r="M56" s="11">
        <f>IF(Form_Responses[[#This Row],[Fraud_Attempt]]="Yes",1,IF(Form_Responses[[#This Row],[Fraud_Attempt]]="Maybe",0.5,IF(Form_Responses[[#This Row],[Fraud_Attempt]]="No",0,"")))</f>
        <v>0</v>
      </c>
      <c r="N56" s="11">
        <v>9</v>
      </c>
    </row>
    <row r="57" spans="1:14" ht="22.5" customHeight="1" x14ac:dyDescent="0.25">
      <c r="A57" s="2" t="s">
        <v>9</v>
      </c>
      <c r="B57" s="2" t="s">
        <v>2</v>
      </c>
      <c r="C57" s="2" t="s">
        <v>10</v>
      </c>
      <c r="D57" s="4" t="s">
        <v>4</v>
      </c>
      <c r="E57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57" s="2" t="s">
        <v>11</v>
      </c>
      <c r="G57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7" s="2" t="s">
        <v>12</v>
      </c>
      <c r="I57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7" s="2" t="s">
        <v>14</v>
      </c>
      <c r="K57" s="8">
        <f>IF(Form_Responses[[#This Row],[Payment_Failure]]="Yes",1,IF(Form_Responses[[#This Row],[Payment_Failure]]="Maybe",0.5,IF(Form_Responses[[#This Row],[Payment_Failure]]="No",0,"")))</f>
        <v>1</v>
      </c>
      <c r="L57" s="2" t="s">
        <v>14</v>
      </c>
      <c r="M57" s="11">
        <f>IF(Form_Responses[[#This Row],[Fraud_Attempt]]="Yes",1,IF(Form_Responses[[#This Row],[Fraud_Attempt]]="Maybe",0.5,IF(Form_Responses[[#This Row],[Fraud_Attempt]]="No",0,"")))</f>
        <v>1</v>
      </c>
      <c r="N57" s="11">
        <v>7</v>
      </c>
    </row>
    <row r="58" spans="1:14" ht="22.5" customHeight="1" x14ac:dyDescent="0.25">
      <c r="A58" s="2" t="s">
        <v>1</v>
      </c>
      <c r="B58" s="2" t="s">
        <v>2</v>
      </c>
      <c r="C58" s="2" t="s">
        <v>10</v>
      </c>
      <c r="D58" s="4" t="s">
        <v>13</v>
      </c>
      <c r="E58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58" s="2" t="s">
        <v>11</v>
      </c>
      <c r="G58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8" s="2" t="s">
        <v>12</v>
      </c>
      <c r="I58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8" s="2" t="s">
        <v>14</v>
      </c>
      <c r="K58" s="8">
        <f>IF(Form_Responses[[#This Row],[Payment_Failure]]="Yes",1,IF(Form_Responses[[#This Row],[Payment_Failure]]="Maybe",0.5,IF(Form_Responses[[#This Row],[Payment_Failure]]="No",0,"")))</f>
        <v>1</v>
      </c>
      <c r="L58" s="2" t="s">
        <v>8</v>
      </c>
      <c r="M58" s="11">
        <f>IF(Form_Responses[[#This Row],[Fraud_Attempt]]="Yes",1,IF(Form_Responses[[#This Row],[Fraud_Attempt]]="Maybe",0.5,IF(Form_Responses[[#This Row],[Fraud_Attempt]]="No",0,"")))</f>
        <v>0</v>
      </c>
      <c r="N58" s="11">
        <v>8</v>
      </c>
    </row>
    <row r="59" spans="1:14" ht="22.5" customHeight="1" x14ac:dyDescent="0.25">
      <c r="A59" s="2" t="s">
        <v>1</v>
      </c>
      <c r="B59" s="2" t="s">
        <v>2</v>
      </c>
      <c r="C59" s="2" t="s">
        <v>10</v>
      </c>
      <c r="D59" s="4" t="s">
        <v>13</v>
      </c>
      <c r="E59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4</v>
      </c>
      <c r="F59" s="2" t="s">
        <v>11</v>
      </c>
      <c r="G59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59" s="2" t="s">
        <v>12</v>
      </c>
      <c r="I59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59" s="2" t="s">
        <v>14</v>
      </c>
      <c r="K59" s="8">
        <f>IF(Form_Responses[[#This Row],[Payment_Failure]]="Yes",1,IF(Form_Responses[[#This Row],[Payment_Failure]]="Maybe",0.5,IF(Form_Responses[[#This Row],[Payment_Failure]]="No",0,"")))</f>
        <v>1</v>
      </c>
      <c r="L59" s="2" t="s">
        <v>8</v>
      </c>
      <c r="M59" s="11">
        <f>IF(Form_Responses[[#This Row],[Fraud_Attempt]]="Yes",1,IF(Form_Responses[[#This Row],[Fraud_Attempt]]="Maybe",0.5,IF(Form_Responses[[#This Row],[Fraud_Attempt]]="No",0,"")))</f>
        <v>0</v>
      </c>
      <c r="N59" s="11">
        <v>8</v>
      </c>
    </row>
    <row r="60" spans="1:14" ht="22.5" customHeight="1" x14ac:dyDescent="0.25">
      <c r="A60" s="2" t="s">
        <v>9</v>
      </c>
      <c r="B60" s="2" t="s">
        <v>2</v>
      </c>
      <c r="C60" s="2" t="s">
        <v>10</v>
      </c>
      <c r="D60" s="4" t="s">
        <v>4</v>
      </c>
      <c r="E60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60" s="2" t="s">
        <v>11</v>
      </c>
      <c r="G60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60" s="2" t="s">
        <v>17</v>
      </c>
      <c r="I60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50</v>
      </c>
      <c r="J60" s="2" t="s">
        <v>14</v>
      </c>
      <c r="K60" s="8">
        <f>IF(Form_Responses[[#This Row],[Payment_Failure]]="Yes",1,IF(Form_Responses[[#This Row],[Payment_Failure]]="Maybe",0.5,IF(Form_Responses[[#This Row],[Payment_Failure]]="No",0,"")))</f>
        <v>1</v>
      </c>
      <c r="L60" s="2" t="s">
        <v>8</v>
      </c>
      <c r="M60" s="11">
        <f>IF(Form_Responses[[#This Row],[Fraud_Attempt]]="Yes",1,IF(Form_Responses[[#This Row],[Fraud_Attempt]]="Maybe",0.5,IF(Form_Responses[[#This Row],[Fraud_Attempt]]="No",0,"")))</f>
        <v>0</v>
      </c>
      <c r="N60" s="11">
        <v>9</v>
      </c>
    </row>
    <row r="61" spans="1:14" ht="22.5" customHeight="1" x14ac:dyDescent="0.25">
      <c r="A61" s="2" t="s">
        <v>1</v>
      </c>
      <c r="B61" s="2" t="s">
        <v>2</v>
      </c>
      <c r="C61" s="2" t="s">
        <v>10</v>
      </c>
      <c r="D61" s="4" t="s">
        <v>4</v>
      </c>
      <c r="E61" s="7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8</v>
      </c>
      <c r="F61" s="2" t="s">
        <v>11</v>
      </c>
      <c r="G61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61" s="2" t="s">
        <v>24</v>
      </c>
      <c r="I61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750</v>
      </c>
      <c r="J61" s="2" t="s">
        <v>14</v>
      </c>
      <c r="K61" s="8">
        <f>IF(Form_Responses[[#This Row],[Payment_Failure]]="Yes",1,IF(Form_Responses[[#This Row],[Payment_Failure]]="Maybe",0.5,IF(Form_Responses[[#This Row],[Payment_Failure]]="No",0,"")))</f>
        <v>1</v>
      </c>
      <c r="L61" s="2" t="s">
        <v>8</v>
      </c>
      <c r="M61" s="11">
        <f>IF(Form_Responses[[#This Row],[Fraud_Attempt]]="Yes",1,IF(Form_Responses[[#This Row],[Fraud_Attempt]]="Maybe",0.5,IF(Form_Responses[[#This Row],[Fraud_Attempt]]="No",0,"")))</f>
        <v>0</v>
      </c>
      <c r="N61" s="11">
        <v>9</v>
      </c>
    </row>
    <row r="62" spans="1:14" ht="22.5" customHeight="1" x14ac:dyDescent="0.25">
      <c r="A62" s="2" t="s">
        <v>1</v>
      </c>
      <c r="B62" s="2" t="s">
        <v>2</v>
      </c>
      <c r="C62" s="2" t="s">
        <v>10</v>
      </c>
      <c r="D62" s="2" t="s">
        <v>43</v>
      </c>
      <c r="E62" s="8">
        <f>IF(Form_Responses[[#This Row],[Daily_Transactions_Category]]=0,0,IF(Form_Responses[[#This Row],[Daily_Transactions_Category]]="1-2",1.5,IF(Form_Responses[[#This Row],[Daily_Transactions_Category]]="3-5",4,IF(Form_Responses[[#This Row],[Daily_Transactions_Category]]="6-10",8,IF(Form_Responses[[#This Row],[Daily_Transactions_Category]]="More than 10",11,"")))))</f>
        <v>11</v>
      </c>
      <c r="F62" s="2" t="s">
        <v>11</v>
      </c>
      <c r="G62" s="8">
        <f>IF(Form_Responses[[#This Row],[Review_Time]]="0 - 5 mins",2.5,IF(Form_Responses[[#This Row],[Review_Time]]="6 - 15 mins",10.5,IF(Form_Responses[[#This Row],[Review_Time]]="16 - 30 mins",23,IF(Form_Responses[[#This Row],[Review_Time]]="31 - 60 mins",45.5,IF(Form_Responses[[#This Row],[Review_Time]]="More than 60 mins",61,"")))))</f>
        <v>2.5</v>
      </c>
      <c r="H62" s="2" t="s">
        <v>12</v>
      </c>
      <c r="I62" s="8">
        <f>IF(Form_Responses[[#This Row],[Daily_Spend]]="Less than ₹100",50,IF(Form_Responses[[#This Row],[Daily_Spend]]="₹101 – ₹500",300,IF(Form_Responses[[#This Row],[Daily_Spend]]="₹501 – ₹1,000",750,IF(Form_Responses[[#This Row],[Daily_Spend]]="₹1,001 – ₹2,500",1750,IF(Form_Responses[[#This Row],[Daily_Spend]]="More than ₹2,500",2501,"")))))</f>
        <v>300</v>
      </c>
      <c r="J62" s="2" t="s">
        <v>14</v>
      </c>
      <c r="K62" s="8">
        <f>IF(Form_Responses[[#This Row],[Payment_Failure]]="Yes",1,IF(Form_Responses[[#This Row],[Payment_Failure]]="Maybe",0.5,IF(Form_Responses[[#This Row],[Payment_Failure]]="No",0,"")))</f>
        <v>1</v>
      </c>
      <c r="L62" s="2" t="s">
        <v>8</v>
      </c>
      <c r="M62" s="11">
        <f>IF(Form_Responses[[#This Row],[Fraud_Attempt]]="Yes",1,IF(Form_Responses[[#This Row],[Fraud_Attempt]]="Maybe",0.5,IF(Form_Responses[[#This Row],[Fraud_Attempt]]="No",0,"")))</f>
        <v>0</v>
      </c>
      <c r="N62" s="11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5" sqref="C15"/>
    </sheetView>
  </sheetViews>
  <sheetFormatPr defaultRowHeight="13.2" x14ac:dyDescent="0.25"/>
  <cols>
    <col min="1" max="1" width="27.33203125" customWidth="1"/>
    <col min="2" max="2" width="62.109375" customWidth="1"/>
    <col min="3" max="3" width="53.77734375" customWidth="1"/>
  </cols>
  <sheetData>
    <row r="1" spans="1:3" x14ac:dyDescent="0.25">
      <c r="A1" s="13" t="s">
        <v>44</v>
      </c>
      <c r="B1" s="13" t="s">
        <v>45</v>
      </c>
      <c r="C1" s="13" t="s">
        <v>60</v>
      </c>
    </row>
    <row r="2" spans="1:3" x14ac:dyDescent="0.25">
      <c r="A2" t="s">
        <v>0</v>
      </c>
      <c r="B2" t="s">
        <v>46</v>
      </c>
    </row>
    <row r="3" spans="1:3" x14ac:dyDescent="0.25">
      <c r="A3" t="s">
        <v>30</v>
      </c>
      <c r="B3" t="s">
        <v>47</v>
      </c>
    </row>
    <row r="4" spans="1:3" x14ac:dyDescent="0.25">
      <c r="A4" t="s">
        <v>31</v>
      </c>
      <c r="B4" t="s">
        <v>48</v>
      </c>
    </row>
    <row r="5" spans="1:3" x14ac:dyDescent="0.25">
      <c r="A5" t="s">
        <v>32</v>
      </c>
      <c r="B5" t="s">
        <v>49</v>
      </c>
    </row>
    <row r="6" spans="1:3" x14ac:dyDescent="0.25">
      <c r="A6" t="s">
        <v>33</v>
      </c>
      <c r="B6" t="s">
        <v>50</v>
      </c>
      <c r="C6" s="14" t="s">
        <v>61</v>
      </c>
    </row>
    <row r="7" spans="1:3" x14ac:dyDescent="0.25">
      <c r="A7" t="s">
        <v>34</v>
      </c>
      <c r="B7" t="s">
        <v>51</v>
      </c>
    </row>
    <row r="8" spans="1:3" x14ac:dyDescent="0.25">
      <c r="A8" t="s">
        <v>35</v>
      </c>
      <c r="B8" t="s">
        <v>52</v>
      </c>
      <c r="C8" t="s">
        <v>62</v>
      </c>
    </row>
    <row r="9" spans="1:3" x14ac:dyDescent="0.25">
      <c r="A9" t="s">
        <v>36</v>
      </c>
      <c r="B9" t="s">
        <v>53</v>
      </c>
    </row>
    <row r="10" spans="1:3" x14ac:dyDescent="0.25">
      <c r="A10" t="s">
        <v>37</v>
      </c>
      <c r="B10" t="s">
        <v>54</v>
      </c>
      <c r="C10" t="s">
        <v>63</v>
      </c>
    </row>
    <row r="11" spans="1:3" x14ac:dyDescent="0.25">
      <c r="A11" t="s">
        <v>38</v>
      </c>
      <c r="B11" t="s">
        <v>55</v>
      </c>
    </row>
    <row r="12" spans="1:3" x14ac:dyDescent="0.25">
      <c r="A12" t="s">
        <v>39</v>
      </c>
      <c r="B12" t="s">
        <v>56</v>
      </c>
      <c r="C12" t="s">
        <v>64</v>
      </c>
    </row>
    <row r="13" spans="1:3" x14ac:dyDescent="0.25">
      <c r="A13" t="s">
        <v>40</v>
      </c>
      <c r="B13" t="s">
        <v>57</v>
      </c>
    </row>
    <row r="14" spans="1:3" x14ac:dyDescent="0.25">
      <c r="A14" t="s">
        <v>41</v>
      </c>
      <c r="B14" t="s">
        <v>58</v>
      </c>
      <c r="C14" t="s">
        <v>64</v>
      </c>
    </row>
    <row r="15" spans="1:3" x14ac:dyDescent="0.25">
      <c r="A15" t="s">
        <v>42</v>
      </c>
      <c r="B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E9" sqref="E9"/>
    </sheetView>
  </sheetViews>
  <sheetFormatPr defaultRowHeight="13.2" x14ac:dyDescent="0.25"/>
  <cols>
    <col min="1" max="1" width="30" customWidth="1"/>
    <col min="2" max="2" width="20.44140625" customWidth="1"/>
    <col min="5" max="5" width="12.44140625" customWidth="1"/>
    <col min="6" max="6" width="24" bestFit="1" customWidth="1"/>
  </cols>
  <sheetData>
    <row r="1" spans="1:6" x14ac:dyDescent="0.25">
      <c r="A1" s="13" t="s">
        <v>69</v>
      </c>
      <c r="E1" s="13" t="s">
        <v>73</v>
      </c>
    </row>
    <row r="2" spans="1:6" x14ac:dyDescent="0.25">
      <c r="A2" s="15" t="s">
        <v>65</v>
      </c>
      <c r="B2" s="16" t="s">
        <v>67</v>
      </c>
      <c r="E2" s="15" t="s">
        <v>65</v>
      </c>
      <c r="F2" s="16" t="s">
        <v>74</v>
      </c>
    </row>
    <row r="3" spans="1:6" x14ac:dyDescent="0.25">
      <c r="A3" s="17" t="s">
        <v>29</v>
      </c>
      <c r="B3" s="18">
        <v>1</v>
      </c>
      <c r="E3" s="17" t="s">
        <v>7</v>
      </c>
      <c r="F3" s="18">
        <v>5</v>
      </c>
    </row>
    <row r="4" spans="1:6" x14ac:dyDescent="0.25">
      <c r="A4" s="19" t="s">
        <v>2</v>
      </c>
      <c r="B4" s="20">
        <v>52</v>
      </c>
      <c r="E4" s="19" t="s">
        <v>8</v>
      </c>
      <c r="F4" s="20">
        <v>12</v>
      </c>
    </row>
    <row r="5" spans="1:6" x14ac:dyDescent="0.25">
      <c r="A5" s="19" t="s">
        <v>20</v>
      </c>
      <c r="B5" s="20">
        <v>8</v>
      </c>
      <c r="E5" s="19" t="s">
        <v>14</v>
      </c>
      <c r="F5" s="20">
        <v>44</v>
      </c>
    </row>
    <row r="6" spans="1:6" x14ac:dyDescent="0.25">
      <c r="A6" s="21" t="s">
        <v>66</v>
      </c>
      <c r="B6" s="22">
        <v>61</v>
      </c>
      <c r="E6" s="21" t="s">
        <v>66</v>
      </c>
      <c r="F6" s="22">
        <v>61</v>
      </c>
    </row>
    <row r="8" spans="1:6" x14ac:dyDescent="0.25">
      <c r="A8" s="13" t="s">
        <v>70</v>
      </c>
      <c r="E8" s="13" t="s">
        <v>75</v>
      </c>
    </row>
    <row r="9" spans="1:6" x14ac:dyDescent="0.25">
      <c r="A9" s="23" t="s">
        <v>65</v>
      </c>
      <c r="B9" t="s">
        <v>68</v>
      </c>
      <c r="E9" s="15" t="s">
        <v>65</v>
      </c>
      <c r="F9" s="16" t="s">
        <v>76</v>
      </c>
    </row>
    <row r="10" spans="1:6" x14ac:dyDescent="0.25">
      <c r="A10" s="24" t="s">
        <v>15</v>
      </c>
      <c r="B10" s="25">
        <v>8</v>
      </c>
      <c r="E10" s="27">
        <v>1</v>
      </c>
      <c r="F10" s="18">
        <v>1</v>
      </c>
    </row>
    <row r="11" spans="1:6" x14ac:dyDescent="0.25">
      <c r="A11" s="24" t="s">
        <v>25</v>
      </c>
      <c r="B11" s="25">
        <v>4</v>
      </c>
      <c r="E11" s="28">
        <v>2</v>
      </c>
      <c r="F11" s="20">
        <v>1</v>
      </c>
    </row>
    <row r="12" spans="1:6" x14ac:dyDescent="0.25">
      <c r="A12" s="24" t="s">
        <v>26</v>
      </c>
      <c r="B12" s="25">
        <v>1</v>
      </c>
      <c r="E12" s="28">
        <v>3</v>
      </c>
      <c r="F12" s="20">
        <v>1</v>
      </c>
    </row>
    <row r="13" spans="1:6" x14ac:dyDescent="0.25">
      <c r="A13" s="24" t="s">
        <v>3</v>
      </c>
      <c r="B13" s="25">
        <v>1</v>
      </c>
      <c r="E13" s="28">
        <v>4</v>
      </c>
      <c r="F13" s="20">
        <v>1</v>
      </c>
    </row>
    <row r="14" spans="1:6" x14ac:dyDescent="0.25">
      <c r="A14" s="24" t="s">
        <v>28</v>
      </c>
      <c r="B14" s="25">
        <v>1</v>
      </c>
      <c r="E14" s="28">
        <v>5</v>
      </c>
      <c r="F14" s="20">
        <v>7</v>
      </c>
    </row>
    <row r="15" spans="1:6" x14ac:dyDescent="0.25">
      <c r="A15" s="24" t="s">
        <v>10</v>
      </c>
      <c r="B15" s="25">
        <v>46</v>
      </c>
      <c r="E15" s="28">
        <v>6</v>
      </c>
      <c r="F15" s="20">
        <v>3</v>
      </c>
    </row>
    <row r="16" spans="1:6" x14ac:dyDescent="0.25">
      <c r="A16" s="24" t="s">
        <v>66</v>
      </c>
      <c r="B16" s="25">
        <v>61</v>
      </c>
      <c r="E16" s="28">
        <v>7</v>
      </c>
      <c r="F16" s="20">
        <v>9</v>
      </c>
    </row>
    <row r="17" spans="1:6" x14ac:dyDescent="0.25">
      <c r="E17" s="28">
        <v>8</v>
      </c>
      <c r="F17" s="20">
        <v>18</v>
      </c>
    </row>
    <row r="18" spans="1:6" x14ac:dyDescent="0.25">
      <c r="A18" s="26" t="s">
        <v>71</v>
      </c>
      <c r="E18" s="28">
        <v>9</v>
      </c>
      <c r="F18" s="20">
        <v>12</v>
      </c>
    </row>
    <row r="19" spans="1:6" x14ac:dyDescent="0.25">
      <c r="A19" s="15" t="s">
        <v>65</v>
      </c>
      <c r="B19" s="16" t="s">
        <v>72</v>
      </c>
      <c r="E19" s="28">
        <v>10</v>
      </c>
      <c r="F19" s="20">
        <v>8</v>
      </c>
    </row>
    <row r="20" spans="1:6" x14ac:dyDescent="0.25">
      <c r="A20" s="17" t="s">
        <v>7</v>
      </c>
      <c r="B20" s="18">
        <v>2</v>
      </c>
      <c r="E20" s="29" t="s">
        <v>66</v>
      </c>
      <c r="F20" s="22">
        <v>61</v>
      </c>
    </row>
    <row r="21" spans="1:6" x14ac:dyDescent="0.25">
      <c r="A21" s="19" t="s">
        <v>8</v>
      </c>
      <c r="B21" s="20">
        <v>52</v>
      </c>
    </row>
    <row r="22" spans="1:6" x14ac:dyDescent="0.25">
      <c r="A22" s="19" t="s">
        <v>14</v>
      </c>
      <c r="B22" s="20">
        <v>7</v>
      </c>
    </row>
    <row r="23" spans="1:6" x14ac:dyDescent="0.25">
      <c r="A23" s="21" t="s">
        <v>66</v>
      </c>
      <c r="B23" s="22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" sqref="A2"/>
    </sheetView>
  </sheetViews>
  <sheetFormatPr defaultRowHeight="13.2" x14ac:dyDescent="0.25"/>
  <cols>
    <col min="1" max="1" width="128.33203125" customWidth="1"/>
  </cols>
  <sheetData>
    <row r="1" spans="1:1" x14ac:dyDescent="0.25">
      <c r="A1" s="14" t="s">
        <v>86</v>
      </c>
    </row>
    <row r="2" spans="1:1" x14ac:dyDescent="0.25">
      <c r="A2" s="14" t="s">
        <v>87</v>
      </c>
    </row>
    <row r="3" spans="1:1" x14ac:dyDescent="0.25">
      <c r="A3" s="14" t="s">
        <v>85</v>
      </c>
    </row>
    <row r="4" spans="1:1" x14ac:dyDescent="0.25">
      <c r="A4" s="14" t="s">
        <v>84</v>
      </c>
    </row>
    <row r="5" spans="1:1" x14ac:dyDescent="0.25">
      <c r="A5" s="14" t="s">
        <v>83</v>
      </c>
    </row>
    <row r="6" spans="1:1" x14ac:dyDescent="0.25">
      <c r="A6" s="14" t="s">
        <v>77</v>
      </c>
    </row>
    <row r="7" spans="1:1" x14ac:dyDescent="0.25">
      <c r="A7" s="14" t="s">
        <v>78</v>
      </c>
    </row>
    <row r="8" spans="1:1" x14ac:dyDescent="0.25">
      <c r="A8" s="14" t="s">
        <v>82</v>
      </c>
    </row>
    <row r="9" spans="1:1" x14ac:dyDescent="0.25">
      <c r="A9" s="14" t="s">
        <v>79</v>
      </c>
    </row>
    <row r="10" spans="1:1" x14ac:dyDescent="0.25">
      <c r="A10" s="14" t="s">
        <v>81</v>
      </c>
    </row>
    <row r="11" spans="1:1" x14ac:dyDescent="0.25">
      <c r="A11" s="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main_dataset</vt:lpstr>
      <vt:lpstr>Data_Dictionary</vt:lpstr>
      <vt:lpstr>Summary_Tables</vt:lpstr>
      <vt:lpstr>Rough_Insights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2026-06-19T17:21:47Z</dcterms:modified>
</cp:coreProperties>
</file>